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eferencement\12_Procedures\06_IWI\"/>
    </mc:Choice>
  </mc:AlternateContent>
  <xr:revisionPtr revIDLastSave="0" documentId="13_ncr:1_{B18EBC77-0545-47A4-A115-5AD972702C5F}" xr6:coauthVersionLast="47" xr6:coauthVersionMax="47" xr10:uidLastSave="{00000000-0000-0000-0000-000000000000}"/>
  <bookViews>
    <workbookView xWindow="-28920" yWindow="-15" windowWidth="29040" windowHeight="15720" tabRatio="714" activeTab="1" xr2:uid="{C16363E0-37D9-476E-A9C8-9DAD457D1C39}"/>
  </bookViews>
  <sheets>
    <sheet name="Matrice_Excel_Monture_MDD" sheetId="1" r:id="rId1"/>
    <sheet name="Matrice_Excel_Mont.e-commerce" sheetId="4" r:id="rId2"/>
    <sheet name="SAP Créations (DREW S)" sheetId="2" r:id="rId3"/>
    <sheet name="BDD" sheetId="3" r:id="rId4"/>
    <sheet name="Exemples_MDD" sheetId="7" r:id="rId5"/>
    <sheet name="Exemples_e_commerce" sheetId="8" r:id="rId6"/>
    <sheet name="Exemples_distrib.sélective" sheetId="9" r:id="rId7"/>
  </sheets>
  <externalReferences>
    <externalReference r:id="rId8"/>
  </externalReferences>
  <definedNames>
    <definedName name="_xlnm._FilterDatabase" localSheetId="1" hidden="1">'Matrice_Excel_Mont.e-commerce'!$A$5:$F$81</definedName>
    <definedName name="_xlnm._FilterDatabase" localSheetId="0" hidden="1">Matrice_Excel_Monture_MDD!$A$5:$F$81</definedName>
    <definedName name="_xlnm.Print_Titles" localSheetId="0">Matrice_Excel_Monture_MDD!$1:$5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3" i="3" l="1"/>
  <c r="AN3" i="3" s="1"/>
  <c r="AI3" i="3"/>
  <c r="AH3" i="3"/>
  <c r="AG3" i="3"/>
  <c r="BQ3" i="3" s="1"/>
  <c r="AF3" i="3"/>
  <c r="AJ3" i="3" s="1"/>
  <c r="H3" i="3"/>
  <c r="AQ3" i="3" l="1"/>
  <c r="AR3" i="3"/>
  <c r="AS3" i="3" s="1"/>
  <c r="BR3" i="3"/>
  <c r="AK3" i="3"/>
  <c r="AL3" i="3"/>
  <c r="AV3" i="3"/>
  <c r="AX3" i="3" s="1"/>
  <c r="AY3" i="3" s="1"/>
  <c r="AW3" i="3"/>
  <c r="AP3" i="3"/>
  <c r="AT3" i="3" l="1"/>
  <c r="AU3" i="3" s="1"/>
  <c r="AT5" i="2" l="1"/>
  <c r="AU5" i="2" s="1"/>
  <c r="AS5" i="2"/>
  <c r="AO5" i="2"/>
  <c r="AW5" i="2" s="1"/>
  <c r="AN5" i="2"/>
  <c r="AV5" i="2" s="1"/>
  <c r="AL5" i="2"/>
  <c r="AM5" i="2" s="1"/>
  <c r="AK5" i="2"/>
  <c r="AH5" i="2"/>
  <c r="AP5" i="2" s="1"/>
  <c r="AG5" i="2"/>
  <c r="AF5" i="2"/>
  <c r="AD5" i="2"/>
  <c r="AE5" i="2" s="1"/>
  <c r="AC5" i="2"/>
  <c r="Y5" i="2"/>
  <c r="AI5" i="2" s="1"/>
  <c r="U5" i="2"/>
  <c r="N5" i="2"/>
  <c r="AQ5" i="2" l="1"/>
  <c r="AA5" i="2"/>
</calcChain>
</file>

<file path=xl/sharedStrings.xml><?xml version="1.0" encoding="utf-8"?>
<sst xmlns="http://schemas.openxmlformats.org/spreadsheetml/2006/main" count="2889" uniqueCount="756">
  <si>
    <t>Code fabricant</t>
  </si>
  <si>
    <t>Nom fabricant</t>
  </si>
  <si>
    <t>Code distributeur</t>
  </si>
  <si>
    <t>Nom distributeur</t>
  </si>
  <si>
    <t>GTIN</t>
  </si>
  <si>
    <t>Code marquage</t>
  </si>
  <si>
    <t>Code commande</t>
  </si>
  <si>
    <t>Code modèle</t>
  </si>
  <si>
    <t>Code interne</t>
  </si>
  <si>
    <t>Code monture</t>
  </si>
  <si>
    <t>Taille du verre emboité (calibre)</t>
  </si>
  <si>
    <t>Taille du pont (nez)</t>
  </si>
  <si>
    <t>Longueur de branche nominale</t>
  </si>
  <si>
    <t>Longueur de branche</t>
  </si>
  <si>
    <t>Diamètre effectif de la monture</t>
  </si>
  <si>
    <t>Angle pantoscopique</t>
  </si>
  <si>
    <t>Angle de la monture</t>
  </si>
  <si>
    <t>Base de la monture</t>
  </si>
  <si>
    <t>Instruction de manipulation des montures</t>
  </si>
  <si>
    <t>Identifiant du verre</t>
  </si>
  <si>
    <t>Base de courbure du verre</t>
  </si>
  <si>
    <t>Description du verre</t>
  </si>
  <si>
    <t>Largeur du verre</t>
  </si>
  <si>
    <t>Hauteur du verre</t>
  </si>
  <si>
    <t>Distance entre les verres</t>
  </si>
  <si>
    <t>Puissance</t>
  </si>
  <si>
    <t>Début de validité</t>
  </si>
  <si>
    <t>Fin de validité</t>
  </si>
  <si>
    <t>Couleur NRF (US uniquement)</t>
  </si>
  <si>
    <t>Spécifications additionnelles</t>
  </si>
  <si>
    <t>Petite image</t>
  </si>
  <si>
    <t>Image de face</t>
  </si>
  <si>
    <t>Image droite</t>
  </si>
  <si>
    <t>Image gauche</t>
  </si>
  <si>
    <t>Image de dessus</t>
  </si>
  <si>
    <t>Image de dessous</t>
  </si>
  <si>
    <t>Date de création</t>
  </si>
  <si>
    <t>Date de modification</t>
  </si>
  <si>
    <r>
      <t xml:space="preserve">Type
</t>
    </r>
    <r>
      <rPr>
        <i/>
        <sz val="8"/>
        <color theme="0"/>
        <rFont val="Calibri"/>
        <family val="2"/>
      </rPr>
      <t>A : Monture optique
B : Lunette de soleil
C : Clip
D : Masque
E : Monture prémontée</t>
    </r>
  </si>
  <si>
    <r>
      <t xml:space="preserve">Sous-type
</t>
    </r>
    <r>
      <rPr>
        <i/>
        <sz val="8"/>
        <color theme="0"/>
        <rFont val="Calibri"/>
        <family val="2"/>
      </rPr>
      <t>A : Cerclé
B : Semi cerclé
C : Percée</t>
    </r>
  </si>
  <si>
    <r>
      <t xml:space="preserve">Numéro de série
</t>
    </r>
    <r>
      <rPr>
        <i/>
        <sz val="8"/>
        <color theme="0"/>
        <rFont val="Calibri"/>
        <family val="2"/>
      </rPr>
      <t>0 : Non
1 : Oui</t>
    </r>
  </si>
  <si>
    <r>
      <t xml:space="preserve">Marque
</t>
    </r>
    <r>
      <rPr>
        <i/>
        <sz val="8"/>
        <color theme="0"/>
        <rFont val="Calibri"/>
        <family val="2"/>
      </rPr>
      <t>Code - Libellé</t>
    </r>
  </si>
  <si>
    <r>
      <t xml:space="preserve">Collection
</t>
    </r>
    <r>
      <rPr>
        <i/>
        <sz val="8"/>
        <color theme="0"/>
        <rFont val="Calibri"/>
        <family val="2"/>
      </rPr>
      <t>Code - Libellé</t>
    </r>
  </si>
  <si>
    <r>
      <t xml:space="preserve">Gabarit
</t>
    </r>
    <r>
      <rPr>
        <i/>
        <sz val="8"/>
        <color theme="0"/>
        <rFont val="Calibri"/>
        <family val="2"/>
      </rPr>
      <t>0 : Non
1 : Oui</t>
    </r>
  </si>
  <si>
    <r>
      <t xml:space="preserve">Disponibilité des pièces détachées
</t>
    </r>
    <r>
      <rPr>
        <i/>
        <sz val="8"/>
        <color theme="0"/>
        <rFont val="Calibri"/>
        <family val="2"/>
      </rPr>
      <t>0 : Non
1 : Oui</t>
    </r>
  </si>
  <si>
    <r>
      <t xml:space="preserve">Catégorie CEN du verre
</t>
    </r>
    <r>
      <rPr>
        <i/>
        <sz val="8"/>
        <color theme="0"/>
        <rFont val="Calibri"/>
        <family val="2"/>
      </rPr>
      <t>0 : Clair ou très légèrement teinté
1 : Légèrement teinté
2 : Moyennement teinté
3 : Foncé
4 : Très foncé</t>
    </r>
  </si>
  <si>
    <r>
      <t xml:space="preserve">Restriction du verre
</t>
    </r>
    <r>
      <rPr>
        <i/>
        <sz val="8"/>
        <color theme="0"/>
        <rFont val="Calibri"/>
        <family val="2"/>
      </rPr>
      <t>0 : Pas de restriction
1 : Non recommandé pour la conduite de nuit
2 : Non recommandé pour la conduite
3 : Depend de l'épaisseur au centre et de l'anti-reflet
4 : Pas d'information fournie</t>
    </r>
  </si>
  <si>
    <r>
      <t xml:space="preserve">Type de filtration du verre
</t>
    </r>
    <r>
      <rPr>
        <i/>
        <sz val="8"/>
        <color theme="0"/>
        <rFont val="Calibri"/>
        <family val="2"/>
      </rPr>
      <t>A : Photochromatique
B : Polarisant
C : Degradé
D : Teinté uniformément
E : Photochromatique et polarisant
F : Autres</t>
    </r>
  </si>
  <si>
    <r>
      <t xml:space="preserve">Matériau du verre
</t>
    </r>
    <r>
      <rPr>
        <i/>
        <sz val="8"/>
        <color theme="0"/>
        <rFont val="Calibri"/>
        <family val="2"/>
      </rPr>
      <t>0 : Indéfini
1 : Plastic
2 : Minéral
3 : Autre</t>
    </r>
  </si>
  <si>
    <r>
      <t xml:space="preserve">Prescription
</t>
    </r>
    <r>
      <rPr>
        <i/>
        <sz val="8"/>
        <color theme="0"/>
        <rFont val="Calibri"/>
        <family val="2"/>
      </rPr>
      <t>0 : Non
1 : Oui</t>
    </r>
  </si>
  <si>
    <r>
      <t xml:space="preserve">Type de découpe de la tranche du verre
</t>
    </r>
    <r>
      <rPr>
        <i/>
        <sz val="8"/>
        <color theme="0"/>
        <rFont val="Calibri"/>
        <family val="2"/>
      </rPr>
      <t>A : Biseau
B : Plat
C : Drageoir
D : Mélange</t>
    </r>
  </si>
  <si>
    <r>
      <t xml:space="preserve">Action
</t>
    </r>
    <r>
      <rPr>
        <i/>
        <sz val="8"/>
        <color theme="0"/>
        <rFont val="Calibri"/>
        <family val="2"/>
      </rPr>
      <t>1 : Modifié
2 : Supprimé</t>
    </r>
  </si>
  <si>
    <r>
      <t xml:space="preserve">Code douanier
</t>
    </r>
    <r>
      <rPr>
        <i/>
        <sz val="8"/>
        <color theme="0"/>
        <rFont val="Calibri"/>
        <family val="2"/>
      </rPr>
      <t>9003110010 : Montures en matières plastiques destinées à la fabrication de lunettes correctices
9003110090 : Montures en matières plastiques autres
9003190020 : Montures en métaux communs destinées à la fabrication de lunettes correctices
9003190030 : Montures en métaux communs autres
9003190090 : Montures en autres matières
9004101000 : Lunettes solaires avec verres travaillés optiquement
9004109100 : Lunettes solaires avec verres en matières plastiques
9004109900 : Lunettes solaires autres
9004901000 : Autres avec verres en matières plastiques
9004909000 : Autres</t>
    </r>
  </si>
  <si>
    <r>
      <t xml:space="preserve">Charnière sur ressort
</t>
    </r>
    <r>
      <rPr>
        <i/>
        <sz val="8"/>
        <color theme="0"/>
        <rFont val="Calibri"/>
        <family val="2"/>
      </rPr>
      <t>0 : Non
1 : Oui</t>
    </r>
  </si>
  <si>
    <r>
      <t xml:space="preserve">Matériau principal de la face
</t>
    </r>
    <r>
      <rPr>
        <i/>
        <sz val="8"/>
        <color theme="0"/>
        <rFont val="Calibri"/>
        <family val="2"/>
      </rPr>
      <t>A : Plastic
B : Combiné
C : Métal
Z : Autres
F : Titane
G : Carbone
H : Bois
I : Doublé or Laminé</t>
    </r>
  </si>
  <si>
    <r>
      <t xml:space="preserve">Matériau principal de la branche
</t>
    </r>
    <r>
      <rPr>
        <i/>
        <sz val="8"/>
        <color theme="0"/>
        <rFont val="Calibri"/>
        <family val="2"/>
      </rPr>
      <t>A : Plastic
C : Métal
Z : Autres
B : Combiné
F : Titane
G : Carbone
H : Bois
I : Doublé or Laminé</t>
    </r>
  </si>
  <si>
    <r>
      <t xml:space="preserve">Type d'utilisateur
</t>
    </r>
    <r>
      <rPr>
        <i/>
        <sz val="8"/>
        <color theme="0"/>
        <rFont val="Calibri"/>
        <family val="2"/>
      </rPr>
      <t>A : Homme
B : Femme
C : Enfant
D : Unisex</t>
    </r>
  </si>
  <si>
    <r>
      <t xml:space="preserve">Type d'utilisation
</t>
    </r>
    <r>
      <rPr>
        <i/>
        <sz val="8"/>
        <color theme="0"/>
        <rFont val="Calibri"/>
        <family val="2"/>
      </rPr>
      <t>A : Standard
B : Sport
C : Protection</t>
    </r>
  </si>
  <si>
    <t>Nom du fabricant</t>
  </si>
  <si>
    <t>ATS</t>
  </si>
  <si>
    <t>Concatenation du "Code Modèle", [Espace], "Code Couleur", [ESPACE], "Calidre" et "Nez"</t>
  </si>
  <si>
    <t>Copier/coller du "Code SAP" du fichier création monture SAP</t>
  </si>
  <si>
    <t>Copier/coller du "GTIN" du fichier création monture SAP</t>
  </si>
  <si>
    <t>IWI</t>
  </si>
  <si>
    <t>Audioptic Trade Services</t>
  </si>
  <si>
    <t>-</t>
  </si>
  <si>
    <t>Copier/coller du "Largeur calibre" du fichier création monture SAP</t>
  </si>
  <si>
    <t>Copier/coller du "Modèle" du fichier création monture SAP</t>
  </si>
  <si>
    <t>Copier/coller du "Taille nez" du fichier création monture SAP</t>
  </si>
  <si>
    <t>Copier/coller du "Longueur de branche" du fichier création monture SAP</t>
  </si>
  <si>
    <t>Récupérer l'information sur "Grpe march" du fichier création monture SAP et mettre la lettre correspondante</t>
  </si>
  <si>
    <t>Récupérer l'information sur "Profil" du fichier création monture SAP et mettre la lettre correspondante</t>
  </si>
  <si>
    <t>A</t>
  </si>
  <si>
    <t>Date du jour jj/mm/aaaa</t>
  </si>
  <si>
    <r>
      <t xml:space="preserve">Récupérer l'information sur "Z011-C1 ou Z012-C1 = Prix opt. FR" du fichier création monture SAP et mettre sous la forme "xx.xx"
</t>
    </r>
    <r>
      <rPr>
        <b/>
        <sz val="11"/>
        <color rgb="FFFF0000"/>
        <rFont val="Calibri"/>
        <family val="2"/>
        <scheme val="minor"/>
      </rPr>
      <t>Attention pas de "virgule" mais un "point"</t>
    </r>
  </si>
  <si>
    <r>
      <t xml:space="preserve">Récupérer l'information sur "PVMC" du fichier création monture SAP et mettre sous la forme "xx.xx"
</t>
    </r>
    <r>
      <rPr>
        <b/>
        <sz val="11"/>
        <color rgb="FFFF0000"/>
        <rFont val="Calibri"/>
        <family val="2"/>
        <scheme val="minor"/>
      </rPr>
      <t>Attention pas de "virgule" mais un "point"</t>
    </r>
  </si>
  <si>
    <t>"0" pour les montures solaires et "1" pour les montures optiques</t>
  </si>
  <si>
    <t>Ne rien renseigner dans ces champs</t>
  </si>
  <si>
    <t>BDD</t>
  </si>
  <si>
    <t>iWi</t>
  </si>
  <si>
    <t>X</t>
  </si>
  <si>
    <t>SAP
fiche créa</t>
  </si>
  <si>
    <t>--</t>
  </si>
  <si>
    <t>Libellé de la marque à récupérer du fichier création monture SAP (trigramme et libellé de la marque à récupérer (ou créer s'ils n'existent pas) sur iWi) puis à formater sous la forme TRIGRAMME - LIBELLE MARQUE =&gt; ex : "DRE - DREW S."</t>
  </si>
  <si>
    <t>Récupérer l'information sur "Grpe march" du fichier création monture SAP et mettre la lettre correspondante
Même donnée qie le champ précédent (Matériau principal de la face)</t>
  </si>
  <si>
    <t>Récupérer l'information sur "Nom FRS" du fichier création monture SAP et trigramme à récupérer sur iWi</t>
  </si>
  <si>
    <r>
      <rPr>
        <b/>
        <sz val="11"/>
        <color theme="1"/>
        <rFont val="Calibri"/>
        <family val="2"/>
        <scheme val="minor"/>
      </rPr>
      <t>Uniquement pour les montures solaires</t>
    </r>
    <r>
      <rPr>
        <sz val="11"/>
        <color theme="1"/>
        <rFont val="Calibri"/>
        <family val="2"/>
        <scheme val="minor"/>
      </rPr>
      <t xml:space="preserve">
Récupérer la donnée "Catégorie" de la colonne W dans le fichier BDD e-commerce et transformer de la façon suivante :
Catégorie 1 renseigner "1"
Catégorie 2 renseigner "2"
Catégorie 3 renseigner "3"
Catégorie 4 renseigner "4"</t>
    </r>
  </si>
  <si>
    <r>
      <t xml:space="preserve">Uniquement pour les montures solaires
</t>
    </r>
    <r>
      <rPr>
        <sz val="11"/>
        <color theme="1"/>
        <rFont val="Calibri"/>
        <family val="2"/>
        <scheme val="minor"/>
      </rPr>
      <t>Compléter en fonction du champs précédent "Catégorie CEN du verre" :
1, 2, 3 renseigner "1"
4 renseigner "2"</t>
    </r>
  </si>
  <si>
    <r>
      <rPr>
        <b/>
        <sz val="11"/>
        <color theme="1"/>
        <rFont val="Calibri"/>
        <family val="2"/>
        <scheme val="minor"/>
      </rPr>
      <t>Uniquement pour les montures solaires</t>
    </r>
    <r>
      <rPr>
        <sz val="11"/>
        <color theme="1"/>
        <rFont val="Calibri"/>
        <family val="2"/>
        <scheme val="minor"/>
      </rPr>
      <t xml:space="preserve">
Récupérer la donnée "Pola " de la colonne X, la donnée "Dégradé" de la colonne Z dans le fichier BDD e-commerce et transformer de la façon suivante :
Pola : OUI renseigner "B"
Dégardé: OUI renseigner "C"</t>
    </r>
  </si>
  <si>
    <t>Récupérer la donnée "Branche Flex" de la colonne U et transformer de la façon suivante :
Branche Flex : NON renseigner "0"
Branche Flex : OUI renseigner "1"</t>
  </si>
  <si>
    <t>Renseigner le code douanier en fonction de du type de monture (optique / solaire) et de sa matière principale</t>
  </si>
  <si>
    <t>03663234125771</t>
  </si>
  <si>
    <t>Exemple MDD
(avec les formules RECHERCHEV)</t>
  </si>
  <si>
    <t>Exemple e-commerce
(avec les formules RECHERCHEV)</t>
  </si>
  <si>
    <t>M10442400001</t>
  </si>
  <si>
    <t>DSF2212</t>
  </si>
  <si>
    <t>Montures DREW. S OPTIQUE OCTOBRE 2022</t>
  </si>
  <si>
    <t>PIECES DETACHEES</t>
  </si>
  <si>
    <t>Prix de vente</t>
  </si>
  <si>
    <t>FACE</t>
  </si>
  <si>
    <t>BRANCHE DROITE</t>
  </si>
  <si>
    <t>BRANCHE GAUCHE</t>
  </si>
  <si>
    <t>Code FRS</t>
  </si>
  <si>
    <t>Nom FRS</t>
  </si>
  <si>
    <t>Code GTIN</t>
  </si>
  <si>
    <t>Code SAP</t>
  </si>
  <si>
    <t>Désignation SAP</t>
  </si>
  <si>
    <t>Modèle</t>
  </si>
  <si>
    <t>Couleur</t>
  </si>
  <si>
    <t>Largeur calibre</t>
  </si>
  <si>
    <t>Taille nez</t>
  </si>
  <si>
    <t>Longueur branche</t>
  </si>
  <si>
    <t>Profil</t>
  </si>
  <si>
    <t>Grpe march</t>
  </si>
  <si>
    <t>Prix ACHAT</t>
  </si>
  <si>
    <t>Z010-C0/C1
Intersociété</t>
  </si>
  <si>
    <t>Z011-C1
Prix opt. FR</t>
  </si>
  <si>
    <t>Z012-C1
Prix opt. FR</t>
  </si>
  <si>
    <t>PVMC France</t>
  </si>
  <si>
    <t>Z004-C1
Prix opt. CH</t>
  </si>
  <si>
    <t>PVMC SUISSE</t>
  </si>
  <si>
    <t>Z011-C3 
Prix opt. WEB</t>
  </si>
  <si>
    <t>Z011-C4
Prix client WEB HT</t>
  </si>
  <si>
    <t>ESSILOR</t>
  </si>
  <si>
    <t>HIERARCHIE</t>
  </si>
  <si>
    <t>NOM DE LA HIERARCHIE</t>
  </si>
  <si>
    <t>Prix achat ATS</t>
  </si>
  <si>
    <t>Z010 intersociété</t>
  </si>
  <si>
    <t>PV Opt. Z004</t>
  </si>
  <si>
    <t>PV opt. Z011/Z012</t>
  </si>
  <si>
    <t>R01441</t>
  </si>
  <si>
    <t>ICARE</t>
  </si>
  <si>
    <t>DSF2212, BRUN, 49, 17</t>
  </si>
  <si>
    <t>BRUN</t>
  </si>
  <si>
    <t>PFL0020 : Monture Femme</t>
  </si>
  <si>
    <t>GM0040 : Mont Opt Pl Cerclée</t>
  </si>
  <si>
    <t>/</t>
  </si>
  <si>
    <t>Z00860015500000144</t>
  </si>
  <si>
    <t xml:space="preserve"> ICARE/MULTI ENSEIGNE/DREW. S</t>
  </si>
  <si>
    <t>03663234125870</t>
  </si>
  <si>
    <t>03663234125979</t>
  </si>
  <si>
    <t>03663234126075</t>
  </si>
  <si>
    <t>Hiérarchie : ICARE/MULTI ENSEIGNE/DREW. S</t>
  </si>
  <si>
    <t>Chaque monture est rattachée à un étui envoyé en gratuit : D013575 ETUI + CHIFFONNETTE DREW. S 2022</t>
  </si>
  <si>
    <r>
      <t xml:space="preserve">DRE - DREW. S
</t>
    </r>
    <r>
      <rPr>
        <i/>
        <sz val="11"/>
        <color theme="1"/>
        <rFont val="Calibri"/>
        <family val="2"/>
        <scheme val="minor"/>
      </rPr>
      <t>info iWi</t>
    </r>
  </si>
  <si>
    <r>
      <t xml:space="preserve">A
</t>
    </r>
    <r>
      <rPr>
        <i/>
        <sz val="11"/>
        <color theme="1"/>
        <rFont val="Calibri"/>
        <family val="2"/>
        <scheme val="minor"/>
      </rPr>
      <t xml:space="preserve">car ligne 5 colonne L feuille [DREW. S] =&gt; GM0040 : Mont </t>
    </r>
    <r>
      <rPr>
        <b/>
        <i/>
        <sz val="11"/>
        <color rgb="FFFF0000"/>
        <rFont val="Calibri"/>
        <family val="2"/>
        <scheme val="minor"/>
      </rPr>
      <t>Opt</t>
    </r>
    <r>
      <rPr>
        <i/>
        <sz val="11"/>
        <color theme="1"/>
        <rFont val="Calibri"/>
        <family val="2"/>
        <scheme val="minor"/>
      </rPr>
      <t xml:space="preserve"> Pl Cerclée</t>
    </r>
  </si>
  <si>
    <r>
      <t xml:space="preserve">A
</t>
    </r>
    <r>
      <rPr>
        <i/>
        <sz val="11"/>
        <color theme="1"/>
        <rFont val="Calibri"/>
        <family val="2"/>
        <scheme val="minor"/>
      </rPr>
      <t>car ligne 5 colonne L feuille [DREW. S] =&gt; GM0040 : Mont</t>
    </r>
    <r>
      <rPr>
        <i/>
        <sz val="11"/>
        <rFont val="Calibri"/>
        <family val="2"/>
        <scheme val="minor"/>
      </rPr>
      <t xml:space="preserve"> Opt</t>
    </r>
    <r>
      <rPr>
        <i/>
        <sz val="11"/>
        <color theme="1"/>
        <rFont val="Calibri"/>
        <family val="2"/>
        <scheme val="minor"/>
      </rPr>
      <t xml:space="preserve"> Pl </t>
    </r>
    <r>
      <rPr>
        <b/>
        <i/>
        <sz val="11"/>
        <color rgb="FFFF0000"/>
        <rFont val="Calibri"/>
        <family val="2"/>
        <scheme val="minor"/>
      </rPr>
      <t>Cerclée</t>
    </r>
  </si>
  <si>
    <t>49
car ligne 5 colonne H feuille [DREW. S]</t>
  </si>
  <si>
    <t>17
car ligne 5 colonne I feuille [DREW. S]</t>
  </si>
  <si>
    <t>140
car ligne 5 colonne J feuille [DREW. S]</t>
  </si>
  <si>
    <t>03663234125771
car ligne 5 colonne C feuille [DREW. S]</t>
  </si>
  <si>
    <t>M10442400001
car ligne 5 colonne D feuille [DREW. S]</t>
  </si>
  <si>
    <t>DSF2212
car ligne 5 colonne F feuille [DREW. S]</t>
  </si>
  <si>
    <t>DSF2212 BRUN 4917
car ligne 5 colonnes F, G, H et I feuille [DREW. S] =&gt; formule CONCATENER(F5;" ";G5;" ";H5;I5)</t>
  </si>
  <si>
    <r>
      <t xml:space="preserve">9003110010
</t>
    </r>
    <r>
      <rPr>
        <i/>
        <sz val="11"/>
        <color theme="1"/>
        <rFont val="Calibri"/>
        <family val="2"/>
        <scheme val="minor"/>
      </rPr>
      <t>car  montures plastiques optiques</t>
    </r>
  </si>
  <si>
    <r>
      <t xml:space="preserve">A
</t>
    </r>
    <r>
      <rPr>
        <i/>
        <sz val="11"/>
        <color theme="1"/>
        <rFont val="Calibri"/>
        <family val="2"/>
        <scheme val="minor"/>
      </rPr>
      <t xml:space="preserve">car ligne 5 colonne L feuille [DREW. S] =&gt; GM0040 : Mont </t>
    </r>
    <r>
      <rPr>
        <i/>
        <sz val="11"/>
        <rFont val="Calibri"/>
        <family val="2"/>
        <scheme val="minor"/>
      </rPr>
      <t>Opt</t>
    </r>
    <r>
      <rPr>
        <b/>
        <i/>
        <sz val="11"/>
        <color rgb="FFFF0000"/>
        <rFont val="Calibri"/>
        <family val="2"/>
        <scheme val="minor"/>
      </rPr>
      <t xml:space="preserve"> Pl</t>
    </r>
    <r>
      <rPr>
        <i/>
        <sz val="11"/>
        <color theme="1"/>
        <rFont val="Calibri"/>
        <family val="2"/>
        <scheme val="minor"/>
      </rPr>
      <t xml:space="preserve"> Cerclée</t>
    </r>
  </si>
  <si>
    <r>
      <t xml:space="preserve">A
</t>
    </r>
    <r>
      <rPr>
        <i/>
        <sz val="11"/>
        <color theme="1"/>
        <rFont val="Calibri"/>
        <family val="2"/>
        <scheme val="minor"/>
      </rPr>
      <t xml:space="preserve">car ligne 5 colonne K feuille [DREW. S] =&gt; PFL0020 : Monture </t>
    </r>
    <r>
      <rPr>
        <b/>
        <i/>
        <sz val="11"/>
        <color rgb="FFFF0000"/>
        <rFont val="Calibri"/>
        <family val="2"/>
        <scheme val="minor"/>
      </rPr>
      <t>Femme</t>
    </r>
  </si>
  <si>
    <r>
      <t xml:space="preserve">1
</t>
    </r>
    <r>
      <rPr>
        <i/>
        <sz val="11"/>
        <color theme="1"/>
        <rFont val="Calibri"/>
        <family val="2"/>
        <scheme val="minor"/>
      </rPr>
      <t>car monture optique</t>
    </r>
  </si>
  <si>
    <r>
      <t xml:space="preserve">[VIDE]
</t>
    </r>
    <r>
      <rPr>
        <i/>
        <sz val="11"/>
        <color theme="1"/>
        <rFont val="Calibri"/>
        <family val="2"/>
        <scheme val="minor"/>
      </rPr>
      <t>car monture optique</t>
    </r>
  </si>
  <si>
    <t xml:space="preserve">Récupérer la donnée "Largeur des verres" de la colonne P dans le fichier BDD e-commerce </t>
  </si>
  <si>
    <t xml:space="preserve">Récupérer la donnée "Hauteur des verres" de la colonne Q dans le fichier BDD e-commerce </t>
  </si>
  <si>
    <t xml:space="preserve">Récupérer la donnée "Taille Nez" de la colonne R dans le fichier BDD e-commerce </t>
  </si>
  <si>
    <t>30.20
car ligne 5 colonne O feuille [DREW. S]</t>
  </si>
  <si>
    <t>179.00
car ligne 5 colonne P feuille [DREW. S]</t>
  </si>
  <si>
    <t>Index</t>
  </si>
  <si>
    <t>Code EAN / SKU / GTIN</t>
  </si>
  <si>
    <t>OPTIC2000.COM</t>
  </si>
  <si>
    <t>LISSAC.FR</t>
  </si>
  <si>
    <t>Réassort automatique SAP</t>
  </si>
  <si>
    <t>Fournisseur</t>
  </si>
  <si>
    <t>CODE FOURNISSEUR</t>
  </si>
  <si>
    <t>Marque</t>
  </si>
  <si>
    <t>Profil de caractère</t>
  </si>
  <si>
    <t>Groupe de marchandise</t>
  </si>
  <si>
    <t>Nom du modèle</t>
  </si>
  <si>
    <t>Code couleur</t>
  </si>
  <si>
    <t>Couleur face SAP</t>
  </si>
  <si>
    <t>Couleur Akénéo 
(nom complet)</t>
  </si>
  <si>
    <t>Largeur des verres</t>
  </si>
  <si>
    <t>Hauteur des verres</t>
  </si>
  <si>
    <t>Taille Nez</t>
  </si>
  <si>
    <t>Largeur de la face</t>
  </si>
  <si>
    <t>Taille Branches</t>
  </si>
  <si>
    <t>Branches flex</t>
  </si>
  <si>
    <t xml:space="preserve">Teinte verres </t>
  </si>
  <si>
    <t>Catégorie</t>
  </si>
  <si>
    <t xml:space="preserve">Pola </t>
  </si>
  <si>
    <t>Miroir</t>
  </si>
  <si>
    <t>Dégradé</t>
  </si>
  <si>
    <t>Forme de la monture</t>
  </si>
  <si>
    <t>Style</t>
  </si>
  <si>
    <t>Pays d'origine</t>
  </si>
  <si>
    <t>Date sélection</t>
  </si>
  <si>
    <t>Date sortie</t>
  </si>
  <si>
    <t>Cible</t>
  </si>
  <si>
    <t>Opt / Sol</t>
  </si>
  <si>
    <t>Nom marketing</t>
  </si>
  <si>
    <t>Taille S-M-L</t>
  </si>
  <si>
    <t>Adaptable verres progressifs</t>
  </si>
  <si>
    <t>Titre SEO O2</t>
  </si>
  <si>
    <t>Description SEO O2</t>
  </si>
  <si>
    <t>Code douanier</t>
  </si>
  <si>
    <t>Matière</t>
  </si>
  <si>
    <t>Prix catalogue</t>
  </si>
  <si>
    <t>Remise sur facture Fournisseur / Magasin</t>
  </si>
  <si>
    <t>RFA N-1</t>
  </si>
  <si>
    <t>Remise sur facture fournisseur / ATS</t>
  </si>
  <si>
    <t>PA ATS</t>
  </si>
  <si>
    <t>PA OPTICIEN</t>
  </si>
  <si>
    <t>Marge ATS</t>
  </si>
  <si>
    <t>PVMC TTC</t>
  </si>
  <si>
    <t>PVMC HT</t>
  </si>
  <si>
    <t>Prix final arrondi TTC</t>
  </si>
  <si>
    <t>Prix final arrondi HT</t>
  </si>
  <si>
    <t>Code TVA</t>
  </si>
  <si>
    <t>Commentaires</t>
  </si>
  <si>
    <t>Réception des Echantillons</t>
  </si>
  <si>
    <t>N° de BL</t>
  </si>
  <si>
    <t>Date Envoi shooting</t>
  </si>
  <si>
    <t>Date Retour du shooting</t>
  </si>
  <si>
    <t>Date Retour fournisseur</t>
  </si>
  <si>
    <t>Date demande d'avoir</t>
  </si>
  <si>
    <t>Date de reception de l'avoir</t>
  </si>
  <si>
    <t>N° d'Avoir</t>
  </si>
  <si>
    <t>N° de facture</t>
  </si>
  <si>
    <t>Date mise en ligne</t>
  </si>
  <si>
    <t>Date commande</t>
  </si>
  <si>
    <t>N° Commande</t>
  </si>
  <si>
    <t>Date de livraison</t>
  </si>
  <si>
    <t>Date de réception</t>
  </si>
  <si>
    <t>Code ds IWI</t>
  </si>
  <si>
    <t>Titre SEO LISSAC</t>
  </si>
  <si>
    <t>Descriptions SEO LISSAC</t>
  </si>
  <si>
    <t>Activer</t>
  </si>
  <si>
    <t>Désactiver</t>
  </si>
  <si>
    <t>OPTIC 2OOO</t>
  </si>
  <si>
    <t>Drew's</t>
  </si>
  <si>
    <t>PFL0020 : Femme</t>
  </si>
  <si>
    <t>GM0040     Mont.Opt.Pl.Cerclées</t>
  </si>
  <si>
    <t>Brun</t>
  </si>
  <si>
    <t>Marron</t>
  </si>
  <si>
    <t>NON</t>
  </si>
  <si>
    <t>Verres de présentation</t>
  </si>
  <si>
    <t>ovales</t>
  </si>
  <si>
    <t>Vintage</t>
  </si>
  <si>
    <t>Chine</t>
  </si>
  <si>
    <t>Femme</t>
  </si>
  <si>
    <t>Optique</t>
  </si>
  <si>
    <t>Drew's - DSF2212 - Marron</t>
  </si>
  <si>
    <t>Adulte S</t>
  </si>
  <si>
    <t>OUI</t>
  </si>
  <si>
    <t>Lunettes de vue Femme Drew's - DSF2212 - Marron ovales : Réservation en ligne - Optic 2000</t>
  </si>
  <si>
    <t>Découvrez nos ➤ Lunettes de vue Femme Drew's - DSF2212 - Marron en ligne &amp; chez les opticiens Optic 2000 ✔ Réservez en ligne ⭐ Livraison en magasin !</t>
  </si>
  <si>
    <t>90031100 Monture Opt Plast</t>
  </si>
  <si>
    <t>Plast</t>
  </si>
  <si>
    <t>4507669489</t>
  </si>
  <si>
    <t>Lunettes de vue Femme Drew's - DSF2212 - Marron | Opticien Lissac</t>
  </si>
  <si>
    <t>Découvrez les Lunettes de vue Femme Drew's - DSF2212 - Marron chez les opticiens Lissac ✔️ Venez les essayer en magasin ! ⭐</t>
  </si>
  <si>
    <t>MIDO 2022</t>
  </si>
  <si>
    <t>F2</t>
  </si>
  <si>
    <t>Récup. Infos montures MDD</t>
  </si>
  <si>
    <t>0
car NON ligne 2 colonne U feuille [BDD]</t>
  </si>
  <si>
    <t>Les données peuvent être récupérer avec la fonction [RECHERCHEV] dans les différents fichiers</t>
  </si>
  <si>
    <t>49
car ligne 2 colonne P feuille [BDD]</t>
  </si>
  <si>
    <t>44
car ligne 2 colonne Q feuille [BDD]</t>
  </si>
  <si>
    <t>17
car ligne 2 colonne Rfeuille [BDD]</t>
  </si>
  <si>
    <t>M90450900001</t>
  </si>
  <si>
    <t>03662097349973</t>
  </si>
  <si>
    <t>Activer (écouler stock)</t>
  </si>
  <si>
    <t>SEAPORT</t>
  </si>
  <si>
    <t>Paul &amp; Joe</t>
  </si>
  <si>
    <t>GM0130     Mont Sol Pl.Cerclées</t>
  </si>
  <si>
    <t>SILENE42</t>
  </si>
  <si>
    <t>E158</t>
  </si>
  <si>
    <t>Ecaille</t>
  </si>
  <si>
    <t>Catégorie 3</t>
  </si>
  <si>
    <t>carrées</t>
  </si>
  <si>
    <t>SILMO 2022</t>
  </si>
  <si>
    <t>SEAP2207CF034808</t>
  </si>
  <si>
    <t>4507707974</t>
  </si>
  <si>
    <t>SEA</t>
  </si>
  <si>
    <t>Seaport</t>
  </si>
  <si>
    <t>Nom du produit</t>
  </si>
  <si>
    <t>Code enseigne</t>
  </si>
  <si>
    <t>Code produit public</t>
  </si>
  <si>
    <t>UPC</t>
  </si>
  <si>
    <t>EAN</t>
  </si>
  <si>
    <t>Code de la couleur</t>
  </si>
  <si>
    <t>Nom de la couleur</t>
  </si>
  <si>
    <t>Le libellé de la couleur à récupérer du fichier création monture SAP (ne doit pas dépasser 6 caractères et être homogène avec ceux existants dans iWi et formater sous la forme ex : NOIR</t>
  </si>
  <si>
    <t>Le code de la couleur à récupérer du fichier création monture SAP (ne doit pas dépasser 6 caractères et être homogène avec ceux existants dans iWi et formater sous la forme ex : NOIR</t>
  </si>
  <si>
    <t>Forme de la monture
1 : Aviateur
2 : Carree
3 : Clubmaster
4 : Masque
5 : Ovale
6 : Oversize
7 : Pantos
8 : Papillon
9 : Rectangle
10 : Ronde
11 : Wayfarer</t>
  </si>
  <si>
    <t>Puisssance</t>
  </si>
  <si>
    <t>C'est le grossissement =&gt; uniquement pour les prémontées comme les Kumquat</t>
  </si>
  <si>
    <t>Prix 1 = achat</t>
  </si>
  <si>
    <t>Prix 2 = vente</t>
  </si>
  <si>
    <t>Prix additionnel (non configuré)</t>
  </si>
  <si>
    <t>Caractéristiques essentielles</t>
  </si>
  <si>
    <t>Origine garantie</t>
  </si>
  <si>
    <t>Code du distributeur</t>
  </si>
  <si>
    <t>Nom du distributeur</t>
  </si>
  <si>
    <t>Type
A : Monture optique
B : Lunette de soleil
C : Clip
D : Masque
E : Monture prémontée</t>
  </si>
  <si>
    <t>Sous-type monture
A : Cerclé
B : Semi cerclé
C : Percée</t>
  </si>
  <si>
    <t>Numéro de série
Non :  0
Oui :  1</t>
  </si>
  <si>
    <t>Marque
Code - Libellé</t>
  </si>
  <si>
    <t>Collection
Code - Libellé</t>
  </si>
  <si>
    <t>Gabarit
Non :  0
Oui :  1</t>
  </si>
  <si>
    <t>Disponibilité des pièces détachées
Non :  0
Oui :  1</t>
  </si>
  <si>
    <t>Descriptif du verre</t>
  </si>
  <si>
    <t>Catégorie CEN du verre</t>
  </si>
  <si>
    <t>Restriction du verre</t>
  </si>
  <si>
    <t>Type de filtration du verre</t>
  </si>
  <si>
    <t>Matériau du verre</t>
  </si>
  <si>
    <t>Prescription
Non :  0
Oui :  1</t>
  </si>
  <si>
    <t>Type de découpe de la tranche du verre
A : Biseau
B : Plat
C : Drageoir
D : Mélange</t>
  </si>
  <si>
    <t>Action
1 : Modifié
2 : Supprimé</t>
  </si>
  <si>
    <t>Date de début de validité</t>
  </si>
  <si>
    <t>Date de fin de validité</t>
  </si>
  <si>
    <t>Prix 1</t>
  </si>
  <si>
    <t>Prix 2</t>
  </si>
  <si>
    <t>Charnière sur ressort
Non :  0
Oui :  1</t>
  </si>
  <si>
    <t>Matériau principal de la face
A : Plastic
B : Combiné
C : Métal
Z : Autres
F : Titane
G : Carbone
H : Bois
I : Doublé or Laminé</t>
  </si>
  <si>
    <t>Matériau principal de la branche
A : Plastic
C : Métal
Z : Autres
B : Combiné
F : Titane
G : Carbone
H : Bois
I : Doublé or Laminé</t>
  </si>
  <si>
    <t>Type d'utilisateur
A : Homme
B : Femme
C : Enfant
D : Unisex</t>
  </si>
  <si>
    <t>Type d'utilisation
A : Standard
B : Sport
C : Protection</t>
  </si>
  <si>
    <t>Récupérer l'information sur "Z011-C1 ou Z012-C1 = Prix opt. FR" du fichier création monture SAP et mettre sous la forme "xx.xx"
Attention pas de "virgule" mais un "point"</t>
  </si>
  <si>
    <t>Récupérer l'information sur "PVMC" du fichier création monture SAP et mettre sous la forme "xx.xx"
Attention pas de "virgule" mais un "point"</t>
  </si>
  <si>
    <t>Général</t>
  </si>
  <si>
    <t>Technique</t>
  </si>
  <si>
    <t>Commercial</t>
  </si>
  <si>
    <t>AudiOptic Trade Services</t>
  </si>
  <si>
    <t>03663234193275</t>
  </si>
  <si>
    <t>J2501 NUDE 4517</t>
  </si>
  <si>
    <t>M10538700001</t>
  </si>
  <si>
    <t>J2501</t>
  </si>
  <si>
    <t>WHA - WHAOO</t>
  </si>
  <si>
    <t>NUDE</t>
  </si>
  <si>
    <t>10.2</t>
  </si>
  <si>
    <t>D</t>
  </si>
  <si>
    <t>03663234193282</t>
  </si>
  <si>
    <t>J2501 VERT 4517</t>
  </si>
  <si>
    <t>M10538700002</t>
  </si>
  <si>
    <t>VERT</t>
  </si>
  <si>
    <t>03663234193299</t>
  </si>
  <si>
    <t>J2502 MAUVE 4716</t>
  </si>
  <si>
    <t>M10538800001</t>
  </si>
  <si>
    <t>J2502</t>
  </si>
  <si>
    <t>MAUVE</t>
  </si>
  <si>
    <t>14.2</t>
  </si>
  <si>
    <t>03663234193305</t>
  </si>
  <si>
    <t>J2502 ROSE 4716</t>
  </si>
  <si>
    <t>M10538800002</t>
  </si>
  <si>
    <t>ROSE</t>
  </si>
  <si>
    <t>03663234193312</t>
  </si>
  <si>
    <t>J2503 DORE 4517</t>
  </si>
  <si>
    <t>M10538900001</t>
  </si>
  <si>
    <t>J2503</t>
  </si>
  <si>
    <t>DORE</t>
  </si>
  <si>
    <t>C</t>
  </si>
  <si>
    <t>03663234193329</t>
  </si>
  <si>
    <t>J2503 ROSE 4517</t>
  </si>
  <si>
    <t>M10538900002</t>
  </si>
  <si>
    <t>03663234193336</t>
  </si>
  <si>
    <t>J2504 MAUVE 4415</t>
  </si>
  <si>
    <t>M10539000001</t>
  </si>
  <si>
    <t>J2504</t>
  </si>
  <si>
    <t>03663234193343</t>
  </si>
  <si>
    <t>J2504 NUDE 4415</t>
  </si>
  <si>
    <t>M10539000002</t>
  </si>
  <si>
    <t>03663234193350</t>
  </si>
  <si>
    <t>J2505 MAUVE 4615</t>
  </si>
  <si>
    <t>M10539100001</t>
  </si>
  <si>
    <t>J2505</t>
  </si>
  <si>
    <t>16.2</t>
  </si>
  <si>
    <t>03663234193367</t>
  </si>
  <si>
    <t>J2505 ROSE 4615</t>
  </si>
  <si>
    <t>M10539100002</t>
  </si>
  <si>
    <t>03663234193374</t>
  </si>
  <si>
    <t>J2506 ROSE 4617</t>
  </si>
  <si>
    <t>M10539200001</t>
  </si>
  <si>
    <t>J2506</t>
  </si>
  <si>
    <t>03663234193381</t>
  </si>
  <si>
    <t>J2506 VIOLT 4617</t>
  </si>
  <si>
    <t>M10539200002</t>
  </si>
  <si>
    <t>VIOLT</t>
  </si>
  <si>
    <t>03663234193398</t>
  </si>
  <si>
    <t>J2507 BLEU 4517</t>
  </si>
  <si>
    <t>M10539300001</t>
  </si>
  <si>
    <t>J2507</t>
  </si>
  <si>
    <t>BLEU</t>
  </si>
  <si>
    <t>03663234193404</t>
  </si>
  <si>
    <t>J2507 GRIS 4517</t>
  </si>
  <si>
    <t>M10539300002</t>
  </si>
  <si>
    <t>GRIS</t>
  </si>
  <si>
    <t>03663234193411</t>
  </si>
  <si>
    <t>J2508 BLEU 4616</t>
  </si>
  <si>
    <t>M10539400001</t>
  </si>
  <si>
    <t>J2508</t>
  </si>
  <si>
    <t>03663234193428</t>
  </si>
  <si>
    <t>J2508 GRIS 4616</t>
  </si>
  <si>
    <t>M10539400002</t>
  </si>
  <si>
    <t>03663234193435</t>
  </si>
  <si>
    <t>J2509 BLEU 4716</t>
  </si>
  <si>
    <t>M10539500001</t>
  </si>
  <si>
    <t>J2509</t>
  </si>
  <si>
    <t>03663234193442</t>
  </si>
  <si>
    <t>J2509 GRIS 4716</t>
  </si>
  <si>
    <t>M10539500002</t>
  </si>
  <si>
    <t>03663234193459</t>
  </si>
  <si>
    <t>J2510 BLEU 4518</t>
  </si>
  <si>
    <t>M10539600001</t>
  </si>
  <si>
    <t>J2510</t>
  </si>
  <si>
    <t>03663234193466</t>
  </si>
  <si>
    <t>J2510 VERT 4518</t>
  </si>
  <si>
    <t>M10539600002</t>
  </si>
  <si>
    <t>03663234193473</t>
  </si>
  <si>
    <t>J2511 NOIR 4516</t>
  </si>
  <si>
    <t>M10539700001</t>
  </si>
  <si>
    <t>J2511</t>
  </si>
  <si>
    <t>NOIR</t>
  </si>
  <si>
    <t>03663234193480</t>
  </si>
  <si>
    <t>J2511 ROUGE 4516</t>
  </si>
  <si>
    <t>M10539700002</t>
  </si>
  <si>
    <t>ROUGE</t>
  </si>
  <si>
    <t>03663234193497</t>
  </si>
  <si>
    <t>J2512 BLEU 4617</t>
  </si>
  <si>
    <t>M10539800001</t>
  </si>
  <si>
    <t>J2512</t>
  </si>
  <si>
    <t>03663234193503</t>
  </si>
  <si>
    <t>J2512 NOIR 4617</t>
  </si>
  <si>
    <t>M10539800002</t>
  </si>
  <si>
    <t>03663234194449</t>
  </si>
  <si>
    <t>AI2501 BLEU 5517</t>
  </si>
  <si>
    <t>M10540800001</t>
  </si>
  <si>
    <t>AI2501</t>
  </si>
  <si>
    <t>ATI - ATTITUDE INVISIBLE</t>
  </si>
  <si>
    <t>F</t>
  </si>
  <si>
    <t>03663234194456</t>
  </si>
  <si>
    <t>AI2501 NOIR 5517</t>
  </si>
  <si>
    <t>M10540800002</t>
  </si>
  <si>
    <t>03663234194463</t>
  </si>
  <si>
    <t>AI2502 ARGE 5318</t>
  </si>
  <si>
    <t>M10540900001</t>
  </si>
  <si>
    <t>AI2502</t>
  </si>
  <si>
    <t>ARGE</t>
  </si>
  <si>
    <t>03663234194470</t>
  </si>
  <si>
    <t>AI2502 NOIR 5318</t>
  </si>
  <si>
    <t>M10540900002</t>
  </si>
  <si>
    <t>03663234194487</t>
  </si>
  <si>
    <t>AI2503 FUCH 5318</t>
  </si>
  <si>
    <t>M10541000001</t>
  </si>
  <si>
    <t>AI2503</t>
  </si>
  <si>
    <t>FUCH</t>
  </si>
  <si>
    <t>B</t>
  </si>
  <si>
    <t>03663234194494</t>
  </si>
  <si>
    <t>AI2503 ROSE 5318</t>
  </si>
  <si>
    <t>M10541000002</t>
  </si>
  <si>
    <t>03663234194500</t>
  </si>
  <si>
    <t>AI2504 DORE 5118</t>
  </si>
  <si>
    <t>M10541100001</t>
  </si>
  <si>
    <t>AI2504</t>
  </si>
  <si>
    <t>03663234194517</t>
  </si>
  <si>
    <t>AI2504 GUN 5118</t>
  </si>
  <si>
    <t>M10541100002</t>
  </si>
  <si>
    <t>GUN</t>
  </si>
  <si>
    <t>03663234197129</t>
  </si>
  <si>
    <t>PLT2501 BLEU 5121</t>
  </si>
  <si>
    <t>M10547700001</t>
  </si>
  <si>
    <t>PLT2501</t>
  </si>
  <si>
    <t>PLT - PLATON</t>
  </si>
  <si>
    <t>03663234197136</t>
  </si>
  <si>
    <t>PLT2501 GRIS 5121</t>
  </si>
  <si>
    <t>M10547800001</t>
  </si>
  <si>
    <t>03663234197143</t>
  </si>
  <si>
    <t>PLT2502 BRUN 4623</t>
  </si>
  <si>
    <t>M10547900001</t>
  </si>
  <si>
    <t>PLT2502</t>
  </si>
  <si>
    <t>03663234197150</t>
  </si>
  <si>
    <t>PLT2502 ECAIL 4623</t>
  </si>
  <si>
    <t>M10548000001</t>
  </si>
  <si>
    <t>ECAIL</t>
  </si>
  <si>
    <t>03663234197167</t>
  </si>
  <si>
    <t>PLT2502 GRIS 4623</t>
  </si>
  <si>
    <t>M10548100001</t>
  </si>
  <si>
    <t>03663234197174</t>
  </si>
  <si>
    <t>PLT2503 BLEUV 5022</t>
  </si>
  <si>
    <t>M10548200001</t>
  </si>
  <si>
    <t>PLT2503</t>
  </si>
  <si>
    <t>BLEUV</t>
  </si>
  <si>
    <t>03663234197181</t>
  </si>
  <si>
    <t>PLT2503 GRIS 5022</t>
  </si>
  <si>
    <t>M10548300001</t>
  </si>
  <si>
    <t>03663234197198</t>
  </si>
  <si>
    <t>PLT2503 NOIR 5022</t>
  </si>
  <si>
    <t>M10548400001</t>
  </si>
  <si>
    <t>03663234197204</t>
  </si>
  <si>
    <t>PLT2504 GRIS 5220</t>
  </si>
  <si>
    <t>M10548500001</t>
  </si>
  <si>
    <t>PLT2504</t>
  </si>
  <si>
    <t>03663234197211</t>
  </si>
  <si>
    <t>PLT2504 NOIR 5220</t>
  </si>
  <si>
    <t>M10548600001</t>
  </si>
  <si>
    <t>03663234197228</t>
  </si>
  <si>
    <t>PLT2505 BLEU 4822</t>
  </si>
  <si>
    <t>M10548700001</t>
  </si>
  <si>
    <t>PLT2505</t>
  </si>
  <si>
    <t>03663234197235</t>
  </si>
  <si>
    <t>PLT2505 GRIS 4822</t>
  </si>
  <si>
    <t>M10548800001</t>
  </si>
  <si>
    <t>03663234197242</t>
  </si>
  <si>
    <t>PLT2506 ECAIL 4722</t>
  </si>
  <si>
    <t>M10548900001</t>
  </si>
  <si>
    <t>PLT2506</t>
  </si>
  <si>
    <t>03663234197259</t>
  </si>
  <si>
    <t>PLT2506 GRISC 4722</t>
  </si>
  <si>
    <t>M10549000001</t>
  </si>
  <si>
    <t>GRISC</t>
  </si>
  <si>
    <t>03663234197266</t>
  </si>
  <si>
    <t>PLT2506 NOIR 4722</t>
  </si>
  <si>
    <t>M10549100001</t>
  </si>
  <si>
    <t>03663234197273</t>
  </si>
  <si>
    <t>PLT2507 BRUN 4423</t>
  </si>
  <si>
    <t>M10549200001</t>
  </si>
  <si>
    <t>PLT2507</t>
  </si>
  <si>
    <t>03663234197280</t>
  </si>
  <si>
    <t>PLT2507 CRIST 4423</t>
  </si>
  <si>
    <t>M10549300001</t>
  </si>
  <si>
    <t>CRIST</t>
  </si>
  <si>
    <t>03663234197297</t>
  </si>
  <si>
    <t>PLT2507 ECAIL 4423</t>
  </si>
  <si>
    <t>M10549400001</t>
  </si>
  <si>
    <t>03663234197303</t>
  </si>
  <si>
    <t>PLT2508 BLEU 4624</t>
  </si>
  <si>
    <t>M10549500001</t>
  </si>
  <si>
    <t>PLT2508</t>
  </si>
  <si>
    <t>03663234197310</t>
  </si>
  <si>
    <t>PLT2508 GRISC 4624</t>
  </si>
  <si>
    <t>M10549500002</t>
  </si>
  <si>
    <t>03663234197327</t>
  </si>
  <si>
    <t>PLT2509 ECAIL 4824</t>
  </si>
  <si>
    <t>M10549600001</t>
  </si>
  <si>
    <t>PLT2509</t>
  </si>
  <si>
    <t>03663234197334</t>
  </si>
  <si>
    <t>PLT2509 CRIST 4824</t>
  </si>
  <si>
    <t>M10549700001</t>
  </si>
  <si>
    <t>03663234197341</t>
  </si>
  <si>
    <t>PLT2510 BLEU 5019</t>
  </si>
  <si>
    <t>M10549800001</t>
  </si>
  <si>
    <t>PLT2510</t>
  </si>
  <si>
    <t>03663234197358</t>
  </si>
  <si>
    <t>PLT2510 GRISC 5019</t>
  </si>
  <si>
    <t>M10549900001</t>
  </si>
  <si>
    <t>03663234194760</t>
  </si>
  <si>
    <t>MP2501 NOIR 6118</t>
  </si>
  <si>
    <t>M10541200001</t>
  </si>
  <si>
    <t>MP2501</t>
  </si>
  <si>
    <t>MDL - MEDLEY SPORT</t>
  </si>
  <si>
    <t>03663234194777</t>
  </si>
  <si>
    <t>MP2502 ROSE 5317</t>
  </si>
  <si>
    <t>M10541300001</t>
  </si>
  <si>
    <t>MP2502</t>
  </si>
  <si>
    <t>03663234194784</t>
  </si>
  <si>
    <t>MP2503 BLEU 4817</t>
  </si>
  <si>
    <t>M10541400001</t>
  </si>
  <si>
    <t>MP2503</t>
  </si>
  <si>
    <t>KOE</t>
  </si>
  <si>
    <t>03663234200546</t>
  </si>
  <si>
    <t>CM2520 BLACK 4918</t>
  </si>
  <si>
    <t>M10553800001</t>
  </si>
  <si>
    <t>CM2520</t>
  </si>
  <si>
    <t>COS - COSMOPOLITAN</t>
  </si>
  <si>
    <t>BLACK</t>
  </si>
  <si>
    <t>03663234200553</t>
  </si>
  <si>
    <t>CM2520 BROWN 4918</t>
  </si>
  <si>
    <t>M10553800002</t>
  </si>
  <si>
    <t>BROWN</t>
  </si>
  <si>
    <t>03663234200560</t>
  </si>
  <si>
    <t>CM2520 CHERY 4918</t>
  </si>
  <si>
    <t>M10553800003</t>
  </si>
  <si>
    <t>CHERY</t>
  </si>
  <si>
    <t>03663234200577</t>
  </si>
  <si>
    <t>CM2521 KHAKI 4917</t>
  </si>
  <si>
    <t>M10553900001</t>
  </si>
  <si>
    <t>CM2521</t>
  </si>
  <si>
    <t>KHAKI</t>
  </si>
  <si>
    <t>03663234200584</t>
  </si>
  <si>
    <t>CM2521 PINK 4917</t>
  </si>
  <si>
    <t>M10553900002</t>
  </si>
  <si>
    <t>PINK</t>
  </si>
  <si>
    <t>03663234200591</t>
  </si>
  <si>
    <t>CM2521 TORTO 4917</t>
  </si>
  <si>
    <t>M10553900003</t>
  </si>
  <si>
    <t>TORTO</t>
  </si>
  <si>
    <t>03663234200607</t>
  </si>
  <si>
    <t>CM2522 MULTI 5117</t>
  </si>
  <si>
    <t>M10554000001</t>
  </si>
  <si>
    <t>CM2522</t>
  </si>
  <si>
    <t>MULTI</t>
  </si>
  <si>
    <t>03663234200614</t>
  </si>
  <si>
    <t>CM2522 TORTO 5117</t>
  </si>
  <si>
    <t>M10554000002</t>
  </si>
  <si>
    <t>03663234200621</t>
  </si>
  <si>
    <t>CM2523 BLUE 5118</t>
  </si>
  <si>
    <t>M10554100001</t>
  </si>
  <si>
    <t>CM2523</t>
  </si>
  <si>
    <t>BLUE</t>
  </si>
  <si>
    <t>03663234200638</t>
  </si>
  <si>
    <t>CM2523 TORTO 5118</t>
  </si>
  <si>
    <t>M10554100002</t>
  </si>
  <si>
    <t>03663234200645</t>
  </si>
  <si>
    <t>CM2524 KHAKI 5017</t>
  </si>
  <si>
    <t>M10554200001</t>
  </si>
  <si>
    <t>CM2524</t>
  </si>
  <si>
    <t>03663234200652</t>
  </si>
  <si>
    <t>CM2524 TORTO 5017</t>
  </si>
  <si>
    <t>M10554200002</t>
  </si>
  <si>
    <t>03663234196146</t>
  </si>
  <si>
    <t>TP2501 DORE 4920</t>
  </si>
  <si>
    <t>M10545500001</t>
  </si>
  <si>
    <t>TP2501</t>
  </si>
  <si>
    <t>TPS - TITANE.PLUS</t>
  </si>
  <si>
    <t>03663234196153</t>
  </si>
  <si>
    <t>TP2501 GUN 4920</t>
  </si>
  <si>
    <t>M10545600001</t>
  </si>
  <si>
    <t>03663234196160</t>
  </si>
  <si>
    <t>TP2502 GUN 5120</t>
  </si>
  <si>
    <t>M10545700001</t>
  </si>
  <si>
    <t>TP2502</t>
  </si>
  <si>
    <t>03663234196177</t>
  </si>
  <si>
    <t>TP2502 NOIR 5120</t>
  </si>
  <si>
    <t>M10545800001</t>
  </si>
  <si>
    <t>03663234196184</t>
  </si>
  <si>
    <t>TP2503 ARGE 5220</t>
  </si>
  <si>
    <t>M10545900001</t>
  </si>
  <si>
    <t>TP2503</t>
  </si>
  <si>
    <t>03663234196191</t>
  </si>
  <si>
    <t>TP2503 DORE 5220</t>
  </si>
  <si>
    <t>M10546000001</t>
  </si>
  <si>
    <t>03663234196207</t>
  </si>
  <si>
    <t>TP2504 DORE 4819</t>
  </si>
  <si>
    <t>M10546100001</t>
  </si>
  <si>
    <t>TP2504</t>
  </si>
  <si>
    <t>03663234196214</t>
  </si>
  <si>
    <t>TP2504 GUN 4819</t>
  </si>
  <si>
    <t>M10546200001</t>
  </si>
  <si>
    <t>03663234196221</t>
  </si>
  <si>
    <t>TP2505 DORE 4921</t>
  </si>
  <si>
    <t>M10546300001</t>
  </si>
  <si>
    <t>TP2505</t>
  </si>
  <si>
    <t>03663234196238</t>
  </si>
  <si>
    <t>TP2505 GUN 4921</t>
  </si>
  <si>
    <t>M10546400001</t>
  </si>
  <si>
    <t>03663234196245</t>
  </si>
  <si>
    <t>TP2506 ARGE 4820</t>
  </si>
  <si>
    <t>M10546500001</t>
  </si>
  <si>
    <t>TP2506</t>
  </si>
  <si>
    <t>03663234196252</t>
  </si>
  <si>
    <t>TP2506 DORE 4820</t>
  </si>
  <si>
    <t>M10546600001</t>
  </si>
  <si>
    <t>03663234196269</t>
  </si>
  <si>
    <t>TP2507 ARGE 4920</t>
  </si>
  <si>
    <t>M10546700001</t>
  </si>
  <si>
    <t>TP2507</t>
  </si>
  <si>
    <t>03663234196276</t>
  </si>
  <si>
    <t>TP2507 DORE 4920</t>
  </si>
  <si>
    <t>M10546800001</t>
  </si>
  <si>
    <t>03663234196283</t>
  </si>
  <si>
    <t>TP2508 CUIVR 5320</t>
  </si>
  <si>
    <t>M10546900001</t>
  </si>
  <si>
    <t>TP2508</t>
  </si>
  <si>
    <t>CUIVR</t>
  </si>
  <si>
    <t>03663234196290</t>
  </si>
  <si>
    <t>TP2508 GUN 5320</t>
  </si>
  <si>
    <t>M10547000001</t>
  </si>
  <si>
    <t>03663234196306</t>
  </si>
  <si>
    <t>TP2509 BRONZ 4622</t>
  </si>
  <si>
    <t>M10547100001</t>
  </si>
  <si>
    <t>TP2509</t>
  </si>
  <si>
    <t>BRONZ</t>
  </si>
  <si>
    <t>03663234196313</t>
  </si>
  <si>
    <t>TP2509 ECAIL 4622</t>
  </si>
  <si>
    <t>M10547100002</t>
  </si>
  <si>
    <t>03663234196320</t>
  </si>
  <si>
    <t>TP2510 ECAIL 4921</t>
  </si>
  <si>
    <t>M10547200001</t>
  </si>
  <si>
    <t>TP2510</t>
  </si>
  <si>
    <t>03663234196337</t>
  </si>
  <si>
    <t>TP2510 NOIR 4921</t>
  </si>
  <si>
    <t>M10547200002</t>
  </si>
  <si>
    <t>03663234196344</t>
  </si>
  <si>
    <t>TP2511 ECAIL 4723</t>
  </si>
  <si>
    <t>M10547300001</t>
  </si>
  <si>
    <t>TP2511</t>
  </si>
  <si>
    <t>03663234196351</t>
  </si>
  <si>
    <t>TP2511 GRIS 4723</t>
  </si>
  <si>
    <t>M10547300002</t>
  </si>
  <si>
    <t>03663234196368</t>
  </si>
  <si>
    <t>TP2512 BLEU 5120</t>
  </si>
  <si>
    <t>M10547400001</t>
  </si>
  <si>
    <t>TP2512</t>
  </si>
  <si>
    <t>03663234196375</t>
  </si>
  <si>
    <t>TP2512 NOIR 5120</t>
  </si>
  <si>
    <t>M10547400002</t>
  </si>
  <si>
    <t>03662097500534</t>
  </si>
  <si>
    <t>PAHILI15 E751 5123</t>
  </si>
  <si>
    <t>M90643000001</t>
  </si>
  <si>
    <t>PAHILI15</t>
  </si>
  <si>
    <t/>
  </si>
  <si>
    <t>3662097500534</t>
  </si>
  <si>
    <t>0</t>
  </si>
  <si>
    <t>PJ - PAUL &amp; JOE</t>
  </si>
  <si>
    <t>ADU - Adulte</t>
  </si>
  <si>
    <t>E751</t>
  </si>
  <si>
    <t>ECAILLE</t>
  </si>
  <si>
    <t>1</t>
  </si>
  <si>
    <t>G</t>
  </si>
  <si>
    <t>4</t>
  </si>
  <si>
    <t>Gris</t>
  </si>
  <si>
    <t>84.43</t>
  </si>
  <si>
    <t>PAHILI15 E751 ECAILLE FEUILLAGE JAUNE VIOLET 51/GRIS/DÉGRADÉ</t>
  </si>
  <si>
    <t>03662097492860</t>
  </si>
  <si>
    <t>TULPAN01 E712 4726</t>
  </si>
  <si>
    <t>M90643100001</t>
  </si>
  <si>
    <t>TULPAN01</t>
  </si>
  <si>
    <t>3662097492860</t>
  </si>
  <si>
    <t>E712</t>
  </si>
  <si>
    <t>Bleu</t>
  </si>
  <si>
    <t>82.73</t>
  </si>
  <si>
    <t>TULPAN01 E712 ECAILLE RAYEE BRUN ORANGE 47/BLEU/DÉGRADÉ</t>
  </si>
  <si>
    <t>LUX</t>
  </si>
  <si>
    <t>LUXOTTICA</t>
  </si>
  <si>
    <t>03663234203585</t>
  </si>
  <si>
    <t>MK4149U 3006 5217</t>
  </si>
  <si>
    <t>M10559400001</t>
  </si>
  <si>
    <t>MK4149U</t>
  </si>
  <si>
    <t>MK1 - Michael Kors (ATS)</t>
  </si>
  <si>
    <t>3006</t>
  </si>
  <si>
    <t>58.9</t>
  </si>
  <si>
    <t>52</t>
  </si>
  <si>
    <t>40</t>
  </si>
  <si>
    <t>9003110000</t>
  </si>
  <si>
    <t>58,52</t>
  </si>
  <si>
    <t>03663234203592</t>
  </si>
  <si>
    <t>MK2243U NOIR 5217</t>
  </si>
  <si>
    <t>M10559500001</t>
  </si>
  <si>
    <t>MK2243U</t>
  </si>
  <si>
    <t>MK2 - Michael Kors Solaire (ATS</t>
  </si>
  <si>
    <t>54.8</t>
  </si>
  <si>
    <t>87 - DARK GREY SOLID</t>
  </si>
  <si>
    <t>33.2</t>
  </si>
  <si>
    <t>9004109100</t>
  </si>
  <si>
    <t>75,22</t>
  </si>
  <si>
    <t>Concatenation du "Code Modèle", [Espace], "Code Couleur", [ESPACE], "Calibre" et "Nez"</t>
  </si>
  <si>
    <t>Type de pièce détachée</t>
  </si>
  <si>
    <t>Compatibilité de clip</t>
  </si>
  <si>
    <t>MAJ le 05/08/2026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</si>
</sst>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00000000000000"/>
    <numFmt numFmtId="165" formatCode="#,##0.00\ &quot;€&quot;"/>
    <numFmt numFmtId="166" formatCode="#,##0.00\ [$CHF]"/>
    <numFmt numFmtId="167" formatCode="_-* #,##0.00\ [$CHF]_-;\-* #,##0.00\ [$CHF]_-;_-* &quot;-&quot;??\ [$CHF]_-;_-@_-"/>
    <numFmt numFmtId="168" formatCode="_-* #,##0.00\ [$€-40C]_-;\-* #,##0.00\ [$€-40C]_-;_-* &quot;-&quot;??\ [$€-40C]_-;_-@_-"/>
    <numFmt numFmtId="169" formatCode="dd/mm/yy;@"/>
  </numFmts>
  <fonts count="23" x14ac:knownFonts="1">
    <font>
      <sz val="11"/>
      <color theme="1"/>
      <name val="Calibri"/>
      <family val="2"/>
      <scheme val="minor"/>
    </font>
    <font>
      <sz val="11"/>
      <color rgb="FFF5F5F5"/>
      <name val="Calibri"/>
      <family val="2"/>
    </font>
    <font>
      <i/>
      <sz val="8"/>
      <color theme="0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5F5F5"/>
      <name val="Calibri"/>
      <family val="2"/>
    </font>
    <font>
      <sz val="11"/>
      <color rgb="FFFF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23232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0C4DE"/>
      </patternFill>
    </fill>
    <fill>
      <patternFill patternType="solid">
        <fgColor rgb="FFF08080"/>
      </patternFill>
    </fill>
    <fill>
      <patternFill patternType="solid">
        <fgColor rgb="FF90EE9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5" fillId="0" borderId="0"/>
    <xf numFmtId="0" fontId="15" fillId="0" borderId="0"/>
  </cellStyleXfs>
  <cellXfs count="175">
    <xf numFmtId="0" fontId="0" fillId="0" borderId="0" xfId="0"/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3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4" borderId="1" xfId="0" quotePrefix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9" fillId="6" borderId="1" xfId="0" applyFont="1" applyFill="1" applyBorder="1" applyAlignment="1">
      <alignment horizontal="center" vertical="center" wrapText="1"/>
    </xf>
    <xf numFmtId="0" fontId="0" fillId="6" borderId="1" xfId="0" quotePrefix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6" borderId="1" xfId="0" quotePrefix="1" applyFill="1" applyBorder="1" applyAlignment="1">
      <alignment horizontal="left" vertical="top" wrapText="1"/>
    </xf>
    <xf numFmtId="0" fontId="13" fillId="0" borderId="0" xfId="3" applyFont="1"/>
    <xf numFmtId="0" fontId="5" fillId="0" borderId="0" xfId="0" applyFont="1"/>
    <xf numFmtId="0" fontId="7" fillId="0" borderId="0" xfId="0" applyFont="1"/>
    <xf numFmtId="0" fontId="16" fillId="7" borderId="14" xfId="0" applyFont="1" applyFill="1" applyBorder="1"/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16" xfId="5" applyFont="1" applyBorder="1" applyAlignment="1">
      <alignment horizontal="center" vertical="center" wrapText="1"/>
    </xf>
    <xf numFmtId="165" fontId="18" fillId="0" borderId="17" xfId="4" applyNumberFormat="1" applyFont="1" applyBorder="1" applyAlignment="1">
      <alignment horizontal="center" vertical="center" wrapText="1"/>
    </xf>
    <xf numFmtId="165" fontId="18" fillId="8" borderId="15" xfId="4" applyNumberFormat="1" applyFont="1" applyFill="1" applyBorder="1" applyAlignment="1">
      <alignment horizontal="center" vertical="center" wrapText="1"/>
    </xf>
    <xf numFmtId="165" fontId="18" fillId="8" borderId="18" xfId="4" applyNumberFormat="1" applyFont="1" applyFill="1" applyBorder="1" applyAlignment="1">
      <alignment horizontal="center" vertical="center" wrapText="1"/>
    </xf>
    <xf numFmtId="0" fontId="18" fillId="8" borderId="17" xfId="4" applyFont="1" applyFill="1" applyBorder="1" applyAlignment="1">
      <alignment horizontal="center" vertical="center" wrapText="1"/>
    </xf>
    <xf numFmtId="166" fontId="18" fillId="9" borderId="5" xfId="4" applyNumberFormat="1" applyFont="1" applyFill="1" applyBorder="1" applyAlignment="1">
      <alignment horizontal="center" vertical="center" wrapText="1"/>
    </xf>
    <xf numFmtId="165" fontId="18" fillId="9" borderId="17" xfId="4" applyNumberFormat="1" applyFont="1" applyFill="1" applyBorder="1" applyAlignment="1">
      <alignment horizontal="center" vertical="center" wrapText="1"/>
    </xf>
    <xf numFmtId="165" fontId="18" fillId="10" borderId="15" xfId="4" applyNumberFormat="1" applyFont="1" applyFill="1" applyBorder="1" applyAlignment="1">
      <alignment horizontal="center" vertical="center" wrapText="1"/>
    </xf>
    <xf numFmtId="165" fontId="18" fillId="10" borderId="7" xfId="4" applyNumberFormat="1" applyFont="1" applyFill="1" applyBorder="1" applyAlignment="1">
      <alignment horizontal="center" vertical="center" wrapText="1"/>
    </xf>
    <xf numFmtId="165" fontId="18" fillId="11" borderId="6" xfId="4" applyNumberFormat="1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 wrapText="1"/>
    </xf>
    <xf numFmtId="0" fontId="18" fillId="7" borderId="16" xfId="0" applyFont="1" applyFill="1" applyBorder="1"/>
    <xf numFmtId="0" fontId="18" fillId="7" borderId="16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left" vertical="center"/>
    </xf>
    <xf numFmtId="0" fontId="18" fillId="7" borderId="16" xfId="0" applyFont="1" applyFill="1" applyBorder="1" applyAlignment="1">
      <alignment horizontal="center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18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 wrapText="1"/>
    </xf>
    <xf numFmtId="0" fontId="18" fillId="7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8" fillId="0" borderId="0" xfId="4" applyFont="1"/>
    <xf numFmtId="0" fontId="6" fillId="0" borderId="0" xfId="4" applyFont="1"/>
    <xf numFmtId="0" fontId="6" fillId="0" borderId="0" xfId="0" applyFont="1"/>
    <xf numFmtId="0" fontId="6" fillId="0" borderId="0" xfId="5" applyFont="1"/>
    <xf numFmtId="0" fontId="16" fillId="0" borderId="0" xfId="5" applyFont="1" applyAlignment="1">
      <alignment horizontal="left" vertical="center"/>
    </xf>
    <xf numFmtId="0" fontId="16" fillId="0" borderId="0" xfId="4" applyFont="1"/>
    <xf numFmtId="14" fontId="0" fillId="6" borderId="1" xfId="0" quotePrefix="1" applyNumberForma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44" fontId="16" fillId="0" borderId="23" xfId="1" applyFont="1" applyFill="1" applyBorder="1" applyAlignment="1">
      <alignment horizontal="center" vertical="center"/>
    </xf>
    <xf numFmtId="44" fontId="16" fillId="0" borderId="25" xfId="1" applyFont="1" applyBorder="1" applyAlignment="1">
      <alignment horizontal="center" vertical="center"/>
    </xf>
    <xf numFmtId="44" fontId="16" fillId="8" borderId="22" xfId="1" applyFont="1" applyFill="1" applyBorder="1" applyAlignment="1">
      <alignment horizontal="center" vertical="center"/>
    </xf>
    <xf numFmtId="44" fontId="16" fillId="8" borderId="26" xfId="1" applyFont="1" applyFill="1" applyBorder="1" applyAlignment="1">
      <alignment horizontal="center" vertical="center"/>
    </xf>
    <xf numFmtId="44" fontId="16" fillId="8" borderId="24" xfId="1" applyFont="1" applyFill="1" applyBorder="1" applyAlignment="1">
      <alignment horizontal="center" vertical="center"/>
    </xf>
    <xf numFmtId="166" fontId="16" fillId="9" borderId="22" xfId="0" applyNumberFormat="1" applyFont="1" applyFill="1" applyBorder="1" applyAlignment="1">
      <alignment horizontal="center" vertical="center"/>
    </xf>
    <xf numFmtId="166" fontId="16" fillId="9" borderId="25" xfId="0" applyNumberFormat="1" applyFont="1" applyFill="1" applyBorder="1" applyAlignment="1">
      <alignment horizontal="center" vertical="center"/>
    </xf>
    <xf numFmtId="165" fontId="16" fillId="10" borderId="22" xfId="0" applyNumberFormat="1" applyFont="1" applyFill="1" applyBorder="1" applyAlignment="1">
      <alignment horizontal="center" vertical="center"/>
    </xf>
    <xf numFmtId="165" fontId="16" fillId="10" borderId="13" xfId="0" applyNumberFormat="1" applyFont="1" applyFill="1" applyBorder="1" applyAlignment="1">
      <alignment horizontal="center" vertical="center"/>
    </xf>
    <xf numFmtId="165" fontId="16" fillId="11" borderId="13" xfId="0" applyNumberFormat="1" applyFont="1" applyFill="1" applyBorder="1" applyAlignment="1">
      <alignment horizontal="center" vertical="center"/>
    </xf>
    <xf numFmtId="0" fontId="16" fillId="0" borderId="22" xfId="5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7" borderId="14" xfId="0" applyFont="1" applyFill="1" applyBorder="1" applyAlignment="1">
      <alignment vertical="center"/>
    </xf>
    <xf numFmtId="0" fontId="16" fillId="7" borderId="22" xfId="0" applyFont="1" applyFill="1" applyBorder="1" applyAlignment="1">
      <alignment vertical="center"/>
    </xf>
    <xf numFmtId="0" fontId="16" fillId="7" borderId="23" xfId="0" applyFont="1" applyFill="1" applyBorder="1" applyAlignment="1">
      <alignment vertical="center"/>
    </xf>
    <xf numFmtId="0" fontId="16" fillId="7" borderId="23" xfId="0" applyFont="1" applyFill="1" applyBorder="1" applyAlignment="1">
      <alignment horizontal="left" vertical="center"/>
    </xf>
    <xf numFmtId="44" fontId="16" fillId="7" borderId="23" xfId="0" applyNumberFormat="1" applyFont="1" applyFill="1" applyBorder="1" applyAlignment="1">
      <alignment vertical="center"/>
    </xf>
    <xf numFmtId="167" fontId="16" fillId="7" borderId="23" xfId="0" applyNumberFormat="1" applyFont="1" applyFill="1" applyBorder="1" applyAlignment="1">
      <alignment vertical="center"/>
    </xf>
    <xf numFmtId="168" fontId="16" fillId="7" borderId="24" xfId="0" applyNumberFormat="1" applyFont="1" applyFill="1" applyBorder="1" applyAlignment="1">
      <alignment vertical="center"/>
    </xf>
    <xf numFmtId="44" fontId="16" fillId="7" borderId="24" xfId="0" applyNumberFormat="1" applyFont="1" applyFill="1" applyBorder="1" applyAlignment="1">
      <alignment vertical="center"/>
    </xf>
    <xf numFmtId="44" fontId="16" fillId="7" borderId="25" xfId="0" applyNumberFormat="1" applyFont="1" applyFill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1" fontId="7" fillId="0" borderId="22" xfId="0" applyNumberFormat="1" applyFont="1" applyBorder="1" applyAlignment="1">
      <alignment horizontal="center" vertical="center" wrapText="1"/>
    </xf>
    <xf numFmtId="164" fontId="7" fillId="12" borderId="23" xfId="0" applyNumberFormat="1" applyFont="1" applyFill="1" applyBorder="1" applyAlignment="1">
      <alignment horizontal="center" vertical="center" wrapText="1"/>
    </xf>
    <xf numFmtId="14" fontId="7" fillId="12" borderId="23" xfId="0" applyNumberFormat="1" applyFont="1" applyFill="1" applyBorder="1" applyAlignment="1">
      <alignment horizontal="center" vertical="center" wrapText="1"/>
    </xf>
    <xf numFmtId="0" fontId="7" fillId="12" borderId="23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1" fontId="18" fillId="12" borderId="23" xfId="0" applyNumberFormat="1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right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165" fontId="7" fillId="5" borderId="23" xfId="0" applyNumberFormat="1" applyFont="1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4" fontId="7" fillId="14" borderId="23" xfId="0" applyNumberFormat="1" applyFont="1" applyFill="1" applyBorder="1" applyAlignment="1">
      <alignment horizontal="center" vertical="center" wrapText="1"/>
    </xf>
    <xf numFmtId="14" fontId="7" fillId="13" borderId="23" xfId="0" applyNumberFormat="1" applyFont="1" applyFill="1" applyBorder="1" applyAlignment="1">
      <alignment horizontal="center" vertical="center" wrapText="1"/>
    </xf>
    <xf numFmtId="0" fontId="7" fillId="13" borderId="23" xfId="0" applyFont="1" applyFill="1" applyBorder="1" applyAlignment="1">
      <alignment horizontal="center" vertical="center" wrapText="1"/>
    </xf>
    <xf numFmtId="14" fontId="7" fillId="15" borderId="25" xfId="0" applyNumberFormat="1" applyFont="1" applyFill="1" applyBorder="1" applyAlignment="1">
      <alignment horizontal="center" vertical="center" wrapText="1"/>
    </xf>
    <xf numFmtId="169" fontId="0" fillId="16" borderId="0" xfId="0" applyNumberFormat="1" applyFill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169" fontId="0" fillId="16" borderId="0" xfId="0" applyNumberForma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7" fillId="17" borderId="0" xfId="0" applyFont="1" applyFill="1" applyAlignment="1">
      <alignment horizontal="left" vertical="center"/>
    </xf>
    <xf numFmtId="0" fontId="0" fillId="0" borderId="27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1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165" fontId="0" fillId="12" borderId="1" xfId="0" applyNumberFormat="1" applyFill="1" applyBorder="1" applyAlignment="1">
      <alignment horizontal="center" vertical="center"/>
    </xf>
    <xf numFmtId="10" fontId="0" fillId="5" borderId="1" xfId="2" applyNumberFormat="1" applyFon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0" fillId="5" borderId="4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14" fontId="0" fillId="15" borderId="21" xfId="0" applyNumberFormat="1" applyFill="1" applyBorder="1" applyAlignment="1">
      <alignment horizontal="center" vertical="center"/>
    </xf>
    <xf numFmtId="169" fontId="0" fillId="16" borderId="0" xfId="0" applyNumberFormat="1" applyFill="1" applyAlignment="1">
      <alignment horizontal="right" vertical="center"/>
    </xf>
    <xf numFmtId="0" fontId="0" fillId="16" borderId="0" xfId="0" applyFill="1" applyAlignment="1">
      <alignment horizontal="center" vertical="center"/>
    </xf>
    <xf numFmtId="169" fontId="0" fillId="16" borderId="0" xfId="0" applyNumberFormat="1" applyFill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9" fillId="18" borderId="1" xfId="0" applyFont="1" applyFill="1" applyBorder="1" applyAlignment="1">
      <alignment horizontal="center" vertical="center" wrapText="1"/>
    </xf>
    <xf numFmtId="0" fontId="0" fillId="18" borderId="1" xfId="0" quotePrefix="1" applyFill="1" applyBorder="1" applyAlignment="1">
      <alignment horizontal="left" vertical="top"/>
    </xf>
    <xf numFmtId="0" fontId="0" fillId="18" borderId="1" xfId="0" applyFill="1" applyBorder="1" applyAlignment="1">
      <alignment horizontal="left" vertical="top"/>
    </xf>
    <xf numFmtId="0" fontId="20" fillId="0" borderId="0" xfId="0" applyFont="1"/>
    <xf numFmtId="14" fontId="0" fillId="19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18" borderId="1" xfId="0" quotePrefix="1" applyFill="1" applyBorder="1" applyAlignment="1">
      <alignment horizontal="left" vertical="top" wrapText="1"/>
    </xf>
    <xf numFmtId="0" fontId="0" fillId="4" borderId="1" xfId="0" quotePrefix="1" applyFill="1" applyBorder="1" applyAlignment="1">
      <alignment horizontal="left" vertical="top"/>
    </xf>
    <xf numFmtId="0" fontId="0" fillId="21" borderId="0" xfId="0" applyFill="1"/>
    <xf numFmtId="0" fontId="0" fillId="22" borderId="0" xfId="0" applyFill="1"/>
    <xf numFmtId="0" fontId="0" fillId="23" borderId="0" xfId="0" applyFill="1"/>
    <xf numFmtId="0" fontId="21" fillId="20" borderId="0" xfId="0" applyFont="1" applyFill="1" applyAlignment="1">
      <alignment vertical="top" wrapText="1"/>
    </xf>
    <xf numFmtId="0" fontId="21" fillId="20" borderId="0" xfId="0" applyFont="1" applyFill="1" applyAlignment="1">
      <alignment vertical="top"/>
    </xf>
    <xf numFmtId="49" fontId="0" fillId="0" borderId="0" xfId="0" applyNumberFormat="1"/>
    <xf numFmtId="14" fontId="0" fillId="0" borderId="0" xfId="0" applyNumberFormat="1"/>
    <xf numFmtId="0" fontId="21" fillId="24" borderId="0" xfId="0" applyFont="1" applyFill="1" applyAlignment="1">
      <alignment vertical="top" wrapText="1"/>
    </xf>
    <xf numFmtId="0" fontId="21" fillId="24" borderId="0" xfId="0" applyFont="1" applyFill="1" applyAlignment="1">
      <alignment vertical="top"/>
    </xf>
    <xf numFmtId="0" fontId="0" fillId="0" borderId="0" xfId="0" quotePrefix="1"/>
    <xf numFmtId="0" fontId="1" fillId="25" borderId="0" xfId="0" applyFont="1" applyFill="1" applyAlignment="1">
      <alignment vertical="top" wrapText="1"/>
    </xf>
    <xf numFmtId="0" fontId="1" fillId="25" borderId="0" xfId="0" applyFont="1" applyFill="1" applyAlignment="1">
      <alignment vertical="top"/>
    </xf>
    <xf numFmtId="0" fontId="20" fillId="0" borderId="0" xfId="0" applyFont="1" applyAlignment="1">
      <alignment horizontal="center"/>
    </xf>
    <xf numFmtId="0" fontId="14" fillId="7" borderId="5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7" fillId="0" borderId="11" xfId="4" applyFont="1" applyBorder="1" applyAlignment="1">
      <alignment horizontal="center"/>
    </xf>
    <xf numFmtId="0" fontId="7" fillId="0" borderId="12" xfId="4" applyFont="1" applyBorder="1" applyAlignment="1">
      <alignment horizontal="center"/>
    </xf>
    <xf numFmtId="0" fontId="7" fillId="0" borderId="13" xfId="4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vertical="top" wrapText="1"/>
    </xf>
  </cellXfs>
  <cellStyles count="6">
    <cellStyle name="Monétaire" xfId="1" builtinId="4"/>
    <cellStyle name="Normal" xfId="0" builtinId="0"/>
    <cellStyle name="Normal 2" xfId="3" xr:uid="{CB393C69-4BAB-4AB8-886D-5DB9CB256CAD}"/>
    <cellStyle name="Normal 4 2" xfId="4" xr:uid="{D71A17F9-E85B-4E5F-B31A-D9609F45BBC1}"/>
    <cellStyle name="Normal 4 3" xfId="5" xr:uid="{FB4D1925-4AAF-4AD3-99E6-B0E79AF252EB}"/>
    <cellStyle name="Pourcentage" xfId="2" builtinId="5"/>
  </cellStyles>
  <dxfs count="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E_commerce_BDD\Montures\2021\BDD%20e-comme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Conditions e-commerce"/>
      <sheetName val="Tables"/>
      <sheetName val="Ajout supp colonnes"/>
      <sheetName val="Besoin e-commerce"/>
      <sheetName val="Guide des tailles"/>
    </sheetNames>
    <sheetDataSet>
      <sheetData sheetId="0"/>
      <sheetData sheetId="1">
        <row r="1">
          <cell r="F1" t="str">
            <v>Contributeur :</v>
          </cell>
          <cell r="G1" t="str">
            <v>ACHATS / N. CUKIC</v>
          </cell>
        </row>
        <row r="3">
          <cell r="E3" t="str">
            <v>Concaténer</v>
          </cell>
          <cell r="F3" t="str">
            <v>Remise sur facture RF 2022</v>
          </cell>
          <cell r="G3" t="str">
            <v>RFA 2021</v>
          </cell>
          <cell r="H3" t="str">
            <v>Remise ATS</v>
          </cell>
          <cell r="I3" t="str">
            <v>Reprise échange</v>
          </cell>
        </row>
        <row r="4">
          <cell r="E4"/>
          <cell r="F4"/>
          <cell r="G4"/>
          <cell r="H4"/>
          <cell r="I4"/>
        </row>
        <row r="5">
          <cell r="A5" t="str">
            <v>ADCL</v>
          </cell>
          <cell r="B5" t="str">
            <v>R00001</v>
          </cell>
          <cell r="E5" t="str">
            <v>ADCLRip CurlOptique</v>
          </cell>
          <cell r="F5">
            <v>0.08</v>
          </cell>
          <cell r="G5">
            <v>0.125</v>
          </cell>
          <cell r="H5">
            <v>0.4</v>
          </cell>
          <cell r="I5" t="str">
            <v>Oui</v>
          </cell>
        </row>
        <row r="6">
          <cell r="A6" t="str">
            <v>ADCL</v>
          </cell>
          <cell r="B6" t="str">
            <v>R00001</v>
          </cell>
          <cell r="E6" t="str">
            <v>ADCLRip CurlSolaire</v>
          </cell>
          <cell r="F6">
            <v>0.08</v>
          </cell>
          <cell r="G6">
            <v>0.125</v>
          </cell>
          <cell r="H6">
            <v>0.35</v>
          </cell>
          <cell r="I6"/>
        </row>
        <row r="7">
          <cell r="A7" t="str">
            <v>ADCL</v>
          </cell>
          <cell r="B7" t="str">
            <v>R00001</v>
          </cell>
          <cell r="E7" t="str">
            <v>ADCLLes TriplésOptique</v>
          </cell>
          <cell r="F7">
            <v>0.08</v>
          </cell>
          <cell r="G7">
            <v>0.125</v>
          </cell>
          <cell r="H7">
            <v>0.4</v>
          </cell>
          <cell r="I7"/>
        </row>
        <row r="8">
          <cell r="A8" t="str">
            <v>ADCL</v>
          </cell>
          <cell r="B8" t="str">
            <v>R00001</v>
          </cell>
          <cell r="E8" t="str">
            <v>ADCLMauboussinOptique</v>
          </cell>
          <cell r="F8">
            <v>0</v>
          </cell>
          <cell r="G8">
            <v>1.4999999999999999E-2</v>
          </cell>
          <cell r="H8">
            <v>0.2</v>
          </cell>
          <cell r="I8"/>
        </row>
        <row r="9">
          <cell r="A9" t="str">
            <v>ADCL</v>
          </cell>
          <cell r="B9" t="str">
            <v>R00001</v>
          </cell>
          <cell r="E9" t="str">
            <v>ADCLMauboussinSolaire</v>
          </cell>
          <cell r="F9">
            <v>0</v>
          </cell>
          <cell r="G9">
            <v>1.4999999999999999E-2</v>
          </cell>
          <cell r="H9">
            <v>0.2</v>
          </cell>
          <cell r="I9"/>
        </row>
        <row r="10">
          <cell r="A10" t="str">
            <v>ADCL</v>
          </cell>
          <cell r="B10" t="str">
            <v>R00001</v>
          </cell>
          <cell r="E10" t="str">
            <v>ADCLTour AutoSolaire</v>
          </cell>
          <cell r="F10">
            <v>0</v>
          </cell>
          <cell r="G10">
            <v>0</v>
          </cell>
          <cell r="H10">
            <v>0</v>
          </cell>
          <cell r="I10"/>
        </row>
        <row r="11">
          <cell r="A11" t="str">
            <v>APLUS</v>
          </cell>
          <cell r="B11" t="str">
            <v>R00008</v>
          </cell>
          <cell r="E11" t="str">
            <v>APLUSPiwatooOptique</v>
          </cell>
          <cell r="F11">
            <v>0.08</v>
          </cell>
          <cell r="G11">
            <v>0.12</v>
          </cell>
          <cell r="H11">
            <v>0.4</v>
          </cell>
          <cell r="I11"/>
        </row>
        <row r="12">
          <cell r="A12" t="str">
            <v>ADCL</v>
          </cell>
          <cell r="B12" t="str">
            <v>R00001</v>
          </cell>
          <cell r="E12" t="str">
            <v>ADCLINVUSolaire</v>
          </cell>
          <cell r="F12">
            <v>0</v>
          </cell>
          <cell r="G12">
            <v>0</v>
          </cell>
          <cell r="H12">
            <v>0.2</v>
          </cell>
          <cell r="I12"/>
        </row>
        <row r="13">
          <cell r="A13" t="str">
            <v>APLUS</v>
          </cell>
          <cell r="B13" t="str">
            <v>R00008</v>
          </cell>
          <cell r="E13" t="str">
            <v>APLUSWhistler HillsOptique</v>
          </cell>
          <cell r="F13">
            <v>0</v>
          </cell>
          <cell r="G13">
            <v>0</v>
          </cell>
          <cell r="H13">
            <v>0.2</v>
          </cell>
          <cell r="I13"/>
        </row>
        <row r="14">
          <cell r="A14" t="str">
            <v>BOLLE BRANDS</v>
          </cell>
          <cell r="B14" t="str">
            <v>R00020</v>
          </cell>
          <cell r="E14" t="str">
            <v>BOLLE BRANDSCébéSolaire</v>
          </cell>
          <cell r="F14">
            <v>0.08</v>
          </cell>
          <cell r="G14">
            <v>7.22E-2</v>
          </cell>
          <cell r="H14">
            <v>0.2</v>
          </cell>
          <cell r="I14" t="str">
            <v>Oui</v>
          </cell>
        </row>
        <row r="15">
          <cell r="A15" t="str">
            <v>BOLLE BRANDS</v>
          </cell>
          <cell r="B15" t="str">
            <v>R00020</v>
          </cell>
          <cell r="E15" t="str">
            <v>BOLLE BRANDSBolléSolaire</v>
          </cell>
          <cell r="F15">
            <v>0.08</v>
          </cell>
          <cell r="G15">
            <v>7.22E-2</v>
          </cell>
          <cell r="H15">
            <v>0.2</v>
          </cell>
          <cell r="I15"/>
        </row>
        <row r="16">
          <cell r="A16" t="str">
            <v>BOLLE BRANDS</v>
          </cell>
          <cell r="B16" t="str">
            <v>R00020</v>
          </cell>
          <cell r="E16" t="str">
            <v>BOLLE BRANDSSERENGETISolaire</v>
          </cell>
          <cell r="F16">
            <v>0.08</v>
          </cell>
          <cell r="G16">
            <v>7.22E-2</v>
          </cell>
          <cell r="H16">
            <v>0.2</v>
          </cell>
          <cell r="I16"/>
        </row>
        <row r="17">
          <cell r="A17" t="str">
            <v>BLI-DBP</v>
          </cell>
          <cell r="B17" t="str">
            <v>R01240</v>
          </cell>
          <cell r="E17" t="str">
            <v>BLI-DBPJF ReyOptique</v>
          </cell>
          <cell r="F17">
            <v>0</v>
          </cell>
          <cell r="G17">
            <v>0</v>
          </cell>
          <cell r="H17">
            <v>0.5</v>
          </cell>
          <cell r="I17" t="str">
            <v>Oui</v>
          </cell>
        </row>
        <row r="18">
          <cell r="A18" t="str">
            <v>BLI-DBP</v>
          </cell>
          <cell r="B18" t="str">
            <v>R01240</v>
          </cell>
          <cell r="E18" t="str">
            <v>BLI-DBPJF ReySolaire</v>
          </cell>
          <cell r="F18">
            <v>0</v>
          </cell>
          <cell r="G18">
            <v>0</v>
          </cell>
          <cell r="H18">
            <v>0.3</v>
          </cell>
          <cell r="I18"/>
        </row>
        <row r="19">
          <cell r="A19" t="str">
            <v>CHARMANT</v>
          </cell>
          <cell r="B19" t="str">
            <v>R00028</v>
          </cell>
          <cell r="E19" t="str">
            <v>CHARMANTEspritOptique</v>
          </cell>
          <cell r="F19">
            <v>7.0000000000000007E-2</v>
          </cell>
          <cell r="G19">
            <v>0.09</v>
          </cell>
          <cell r="H19">
            <v>0.5</v>
          </cell>
          <cell r="I19" t="str">
            <v>Oui</v>
          </cell>
        </row>
        <row r="20">
          <cell r="A20" t="str">
            <v>CHARMANT</v>
          </cell>
          <cell r="B20" t="str">
            <v>R00028</v>
          </cell>
          <cell r="E20" t="str">
            <v>CHARMANTEspritSolaire</v>
          </cell>
          <cell r="F20">
            <v>7.0000000000000007E-2</v>
          </cell>
          <cell r="G20">
            <v>0.09</v>
          </cell>
          <cell r="H20">
            <v>0.5</v>
          </cell>
          <cell r="I20"/>
        </row>
        <row r="21">
          <cell r="A21" t="str">
            <v>CHARMANT</v>
          </cell>
          <cell r="B21" t="str">
            <v>R00028</v>
          </cell>
          <cell r="E21" t="str">
            <v>CHARMANTElleOptique</v>
          </cell>
          <cell r="F21">
            <v>7.0000000000000007E-2</v>
          </cell>
          <cell r="G21">
            <v>0.09</v>
          </cell>
          <cell r="H21">
            <v>0.5</v>
          </cell>
          <cell r="I21"/>
        </row>
        <row r="22">
          <cell r="A22" t="str">
            <v>CHARMANT</v>
          </cell>
          <cell r="B22" t="str">
            <v>R00028</v>
          </cell>
          <cell r="E22" t="str">
            <v>CHARMANTElleSolaire</v>
          </cell>
          <cell r="F22">
            <v>7.0000000000000007E-2</v>
          </cell>
          <cell r="G22">
            <v>0.09</v>
          </cell>
          <cell r="H22">
            <v>0.5</v>
          </cell>
          <cell r="I22"/>
        </row>
        <row r="23">
          <cell r="A23" t="str">
            <v>DE RIGO</v>
          </cell>
          <cell r="B23" t="str">
            <v>R00039</v>
          </cell>
          <cell r="E23" t="str">
            <v>DE RIGOPoliceOptique</v>
          </cell>
          <cell r="F23">
            <v>0.1</v>
          </cell>
          <cell r="G23">
            <v>0.08</v>
          </cell>
          <cell r="H23">
            <v>0.3</v>
          </cell>
          <cell r="I23" t="str">
            <v>Oui</v>
          </cell>
        </row>
        <row r="24">
          <cell r="A24" t="str">
            <v>DE RIGO</v>
          </cell>
          <cell r="B24" t="str">
            <v>R00039</v>
          </cell>
          <cell r="E24" t="str">
            <v>DE RIGOPoliceSolaire</v>
          </cell>
          <cell r="F24">
            <v>0.1</v>
          </cell>
          <cell r="G24">
            <v>0.08</v>
          </cell>
          <cell r="H24">
            <v>0.3</v>
          </cell>
          <cell r="I24"/>
        </row>
        <row r="25">
          <cell r="A25" t="str">
            <v>GRASSET</v>
          </cell>
          <cell r="B25" t="str">
            <v>R00060</v>
          </cell>
          <cell r="E25" t="str">
            <v>GRASSETLevi'sOptique</v>
          </cell>
          <cell r="F25">
            <v>0.08</v>
          </cell>
          <cell r="G25">
            <v>0</v>
          </cell>
          <cell r="H25">
            <v>0.35</v>
          </cell>
          <cell r="I25" t="str">
            <v>Oui</v>
          </cell>
        </row>
        <row r="26">
          <cell r="A26" t="str">
            <v>GRASSET</v>
          </cell>
          <cell r="B26" t="str">
            <v>R00060</v>
          </cell>
          <cell r="E26" t="str">
            <v>GRASSETLevi'sSolaire</v>
          </cell>
          <cell r="F26">
            <v>0.08</v>
          </cell>
          <cell r="G26">
            <v>0</v>
          </cell>
          <cell r="H26">
            <v>0.35</v>
          </cell>
          <cell r="I26"/>
        </row>
        <row r="27">
          <cell r="A27" t="str">
            <v>GRASSET</v>
          </cell>
          <cell r="B27" t="str">
            <v>R00060</v>
          </cell>
          <cell r="E27" t="str">
            <v>GRASSETEden parkOptique</v>
          </cell>
          <cell r="F27">
            <v>0.08</v>
          </cell>
          <cell r="G27">
            <v>5.5E-2</v>
          </cell>
          <cell r="H27">
            <v>0.35</v>
          </cell>
          <cell r="I27"/>
        </row>
        <row r="28">
          <cell r="A28" t="str">
            <v>GRASSET</v>
          </cell>
          <cell r="B28" t="str">
            <v>R00060</v>
          </cell>
          <cell r="E28" t="str">
            <v>GRASSETEden parkSolaire</v>
          </cell>
          <cell r="F28">
            <v>0.08</v>
          </cell>
          <cell r="G28">
            <v>5.5E-2</v>
          </cell>
          <cell r="H28">
            <v>0.35</v>
          </cell>
          <cell r="I28"/>
        </row>
        <row r="29">
          <cell r="A29" t="str">
            <v>GRASSET</v>
          </cell>
          <cell r="B29" t="str">
            <v>R00060</v>
          </cell>
          <cell r="E29" t="str">
            <v>GRASSETSeikoOptique</v>
          </cell>
          <cell r="F29">
            <v>0.08</v>
          </cell>
          <cell r="G29">
            <v>5.5E-2</v>
          </cell>
          <cell r="H29">
            <v>0.35</v>
          </cell>
          <cell r="I29"/>
        </row>
        <row r="30">
          <cell r="A30" t="str">
            <v>JULBO</v>
          </cell>
          <cell r="B30" t="str">
            <v>R00066</v>
          </cell>
          <cell r="E30" t="str">
            <v>JULBOJulboSolaire</v>
          </cell>
          <cell r="F30">
            <v>0.12</v>
          </cell>
          <cell r="G30">
            <v>6.1400000000000003E-2</v>
          </cell>
          <cell r="H30">
            <v>0.3</v>
          </cell>
          <cell r="I30" t="str">
            <v>Oui</v>
          </cell>
        </row>
        <row r="31">
          <cell r="A31" t="str">
            <v>KERING</v>
          </cell>
          <cell r="B31" t="str">
            <v>R01554</v>
          </cell>
          <cell r="E31" t="str">
            <v>KERINGGucciOptique</v>
          </cell>
          <cell r="F31">
            <v>0.04</v>
          </cell>
          <cell r="G31">
            <v>0</v>
          </cell>
          <cell r="H31">
            <v>0.04</v>
          </cell>
          <cell r="I31" t="str">
            <v>Oui</v>
          </cell>
        </row>
        <row r="32">
          <cell r="A32" t="str">
            <v>KERING</v>
          </cell>
          <cell r="B32" t="str">
            <v>R01554</v>
          </cell>
          <cell r="E32" t="str">
            <v>KERINGGucciSolaire</v>
          </cell>
          <cell r="F32">
            <v>0.04</v>
          </cell>
          <cell r="G32">
            <v>0</v>
          </cell>
          <cell r="H32">
            <v>0.04</v>
          </cell>
          <cell r="I32"/>
        </row>
        <row r="33">
          <cell r="A33" t="str">
            <v>L'AMY</v>
          </cell>
          <cell r="B33" t="str">
            <v>R00071</v>
          </cell>
          <cell r="E33" t="str">
            <v>L'AMYChevignonOptique</v>
          </cell>
          <cell r="F33">
            <v>0</v>
          </cell>
          <cell r="G33">
            <v>0.03</v>
          </cell>
          <cell r="H33">
            <v>0</v>
          </cell>
          <cell r="I33" t="str">
            <v>Oui</v>
          </cell>
        </row>
        <row r="34">
          <cell r="A34" t="str">
            <v>L'AMY</v>
          </cell>
          <cell r="B34" t="str">
            <v>R00071</v>
          </cell>
          <cell r="E34" t="str">
            <v>L'AMYChevignonSolaire</v>
          </cell>
          <cell r="F34">
            <v>0</v>
          </cell>
          <cell r="G34">
            <v>0.03</v>
          </cell>
          <cell r="H34">
            <v>0</v>
          </cell>
          <cell r="I34"/>
        </row>
        <row r="35">
          <cell r="A35" t="str">
            <v>L'AMY</v>
          </cell>
          <cell r="B35" t="str">
            <v>R00071</v>
          </cell>
          <cell r="E35" t="str">
            <v>L'AMYKenzoOptique</v>
          </cell>
          <cell r="F35">
            <v>0.06</v>
          </cell>
          <cell r="G35">
            <v>0.03</v>
          </cell>
          <cell r="H35">
            <v>0.35</v>
          </cell>
          <cell r="I35"/>
        </row>
        <row r="36">
          <cell r="A36" t="str">
            <v>L'AMY</v>
          </cell>
          <cell r="B36" t="str">
            <v>R00071</v>
          </cell>
          <cell r="E36" t="str">
            <v>L'AMYKenzoSolaire</v>
          </cell>
          <cell r="F36">
            <v>0.06</v>
          </cell>
          <cell r="G36">
            <v>0.03</v>
          </cell>
          <cell r="H36">
            <v>0.35</v>
          </cell>
          <cell r="I36"/>
        </row>
        <row r="37">
          <cell r="A37" t="str">
            <v>L'AMY</v>
          </cell>
          <cell r="B37" t="str">
            <v>R00071</v>
          </cell>
          <cell r="E37" t="str">
            <v>L'AMYCerrutiOptique</v>
          </cell>
          <cell r="F37">
            <v>0.06</v>
          </cell>
          <cell r="G37">
            <v>0.03</v>
          </cell>
          <cell r="H37">
            <v>0.35</v>
          </cell>
          <cell r="I37"/>
        </row>
        <row r="38">
          <cell r="A38" t="str">
            <v>L'AMY</v>
          </cell>
          <cell r="B38" t="str">
            <v>R00071</v>
          </cell>
          <cell r="E38" t="str">
            <v>L'AMYLe Temps des CerisesOptique</v>
          </cell>
          <cell r="F38">
            <v>0</v>
          </cell>
          <cell r="G38">
            <v>0.03</v>
          </cell>
          <cell r="H38">
            <v>0</v>
          </cell>
          <cell r="I38"/>
        </row>
        <row r="39">
          <cell r="A39" t="str">
            <v>L'AMY</v>
          </cell>
          <cell r="B39" t="str">
            <v>R00071</v>
          </cell>
          <cell r="E39" t="str">
            <v>L'AMYSonia RykielOptique</v>
          </cell>
          <cell r="F39">
            <v>0.06</v>
          </cell>
          <cell r="G39">
            <v>0.03</v>
          </cell>
          <cell r="H39">
            <v>0.35</v>
          </cell>
          <cell r="I39"/>
        </row>
        <row r="40">
          <cell r="A40" t="str">
            <v>L'AMY</v>
          </cell>
          <cell r="B40" t="str">
            <v>R00071</v>
          </cell>
          <cell r="E40" t="str">
            <v>L'AMYSonia RykielSolaire</v>
          </cell>
          <cell r="F40">
            <v>0.06</v>
          </cell>
          <cell r="G40">
            <v>0.03</v>
          </cell>
          <cell r="H40">
            <v>0.35</v>
          </cell>
          <cell r="I40"/>
        </row>
        <row r="41">
          <cell r="A41" t="str">
            <v>LUXOTTICA</v>
          </cell>
          <cell r="B41" t="str">
            <v>R00078</v>
          </cell>
          <cell r="E41" t="str">
            <v>LUXOTTICARay banOptique</v>
          </cell>
          <cell r="F41">
            <v>0.08</v>
          </cell>
          <cell r="G41">
            <v>0</v>
          </cell>
          <cell r="H41">
            <v>0.08</v>
          </cell>
          <cell r="I41" t="str">
            <v>Non</v>
          </cell>
        </row>
        <row r="42">
          <cell r="A42" t="str">
            <v>LUXOTTICA</v>
          </cell>
          <cell r="B42" t="str">
            <v>R00078</v>
          </cell>
          <cell r="E42" t="str">
            <v>LUXOTTICARay banSolaire</v>
          </cell>
          <cell r="F42">
            <v>0</v>
          </cell>
          <cell r="G42">
            <v>0</v>
          </cell>
          <cell r="H42">
            <v>0</v>
          </cell>
          <cell r="I42"/>
        </row>
        <row r="43">
          <cell r="A43" t="str">
            <v>LUXOTTICA</v>
          </cell>
          <cell r="B43" t="str">
            <v>R00078</v>
          </cell>
          <cell r="E43" t="str">
            <v>LUXOTTICAPolo Ralph LaurenOptique</v>
          </cell>
          <cell r="F43">
            <v>0.05</v>
          </cell>
          <cell r="G43">
            <v>0</v>
          </cell>
          <cell r="H43">
            <v>0.05</v>
          </cell>
          <cell r="I43"/>
        </row>
        <row r="44">
          <cell r="A44" t="str">
            <v>LUXOTTICA</v>
          </cell>
          <cell r="B44" t="str">
            <v>R00078</v>
          </cell>
          <cell r="E44" t="str">
            <v>LUXOTTICAPolo Ralph LaurenSolaire</v>
          </cell>
          <cell r="F44">
            <v>0.05</v>
          </cell>
          <cell r="G44">
            <v>0</v>
          </cell>
          <cell r="H44">
            <v>0.05</v>
          </cell>
          <cell r="I44"/>
        </row>
        <row r="45">
          <cell r="A45" t="str">
            <v>LUXOTTICA</v>
          </cell>
          <cell r="B45" t="str">
            <v>R00078</v>
          </cell>
          <cell r="E45" t="str">
            <v>LUXOTTICARalph LaurenOptique</v>
          </cell>
          <cell r="F45">
            <v>0.05</v>
          </cell>
          <cell r="G45">
            <v>0</v>
          </cell>
          <cell r="H45">
            <v>0.05</v>
          </cell>
          <cell r="I45"/>
        </row>
        <row r="46">
          <cell r="A46" t="str">
            <v>LUXOTTICA</v>
          </cell>
          <cell r="B46" t="str">
            <v>R00078</v>
          </cell>
          <cell r="E46" t="str">
            <v>LUXOTTICARalph LaurenSolaire</v>
          </cell>
          <cell r="F46">
            <v>0.05</v>
          </cell>
          <cell r="G46">
            <v>0</v>
          </cell>
          <cell r="H46">
            <v>0.05</v>
          </cell>
          <cell r="I46"/>
        </row>
        <row r="47">
          <cell r="A47" t="str">
            <v>LUXOTTICA</v>
          </cell>
          <cell r="B47" t="str">
            <v>R00078</v>
          </cell>
          <cell r="E47" t="str">
            <v>LUXOTTICAVogueOptique</v>
          </cell>
          <cell r="F47">
            <v>0.13</v>
          </cell>
          <cell r="G47">
            <v>0</v>
          </cell>
          <cell r="H47">
            <v>0.13</v>
          </cell>
          <cell r="I47"/>
        </row>
        <row r="48">
          <cell r="A48" t="str">
            <v>LUXOTTICA</v>
          </cell>
          <cell r="B48" t="str">
            <v>R00078</v>
          </cell>
          <cell r="E48" t="str">
            <v>LUXOTTICAVogueSolaire</v>
          </cell>
          <cell r="F48">
            <v>0.13</v>
          </cell>
          <cell r="G48">
            <v>0</v>
          </cell>
          <cell r="H48">
            <v>0.13</v>
          </cell>
          <cell r="I48"/>
        </row>
        <row r="49">
          <cell r="A49" t="str">
            <v>LUXOTTICA</v>
          </cell>
          <cell r="B49" t="str">
            <v>R00078</v>
          </cell>
          <cell r="E49" t="str">
            <v>LUXOTTICAOakleyOptique</v>
          </cell>
          <cell r="F49">
            <v>0</v>
          </cell>
          <cell r="G49">
            <v>0</v>
          </cell>
          <cell r="H49">
            <v>0</v>
          </cell>
          <cell r="I49"/>
        </row>
        <row r="50">
          <cell r="A50" t="str">
            <v>LUXOTTICA</v>
          </cell>
          <cell r="B50" t="str">
            <v>R00078</v>
          </cell>
          <cell r="E50" t="str">
            <v>LUXOTTICAOakleySolaire</v>
          </cell>
          <cell r="F50">
            <v>0</v>
          </cell>
          <cell r="G50">
            <v>0</v>
          </cell>
          <cell r="H50">
            <v>0</v>
          </cell>
          <cell r="I50"/>
        </row>
        <row r="51">
          <cell r="A51" t="str">
            <v>LUXOTTICA</v>
          </cell>
          <cell r="B51" t="str">
            <v>R00078</v>
          </cell>
          <cell r="E51" t="str">
            <v>LUXOTTICABurberryOptique</v>
          </cell>
          <cell r="F51">
            <v>0.05</v>
          </cell>
          <cell r="G51">
            <v>0</v>
          </cell>
          <cell r="H51">
            <v>0.05</v>
          </cell>
          <cell r="I51"/>
        </row>
        <row r="52">
          <cell r="A52" t="str">
            <v>LUXOTTICA</v>
          </cell>
          <cell r="B52" t="str">
            <v>R00078</v>
          </cell>
          <cell r="E52" t="str">
            <v>LUXOTTICABurberrySolaire</v>
          </cell>
          <cell r="F52">
            <v>0.05</v>
          </cell>
          <cell r="G52">
            <v>0</v>
          </cell>
          <cell r="H52">
            <v>0.05</v>
          </cell>
          <cell r="I52"/>
        </row>
        <row r="53">
          <cell r="A53" t="str">
            <v>LUXOTTICA</v>
          </cell>
          <cell r="B53" t="str">
            <v>R00078</v>
          </cell>
          <cell r="E53" t="str">
            <v>LUXOTTICADolce&amp;GabbanaOptique</v>
          </cell>
          <cell r="F53">
            <v>0.05</v>
          </cell>
          <cell r="G53">
            <v>0</v>
          </cell>
          <cell r="H53">
            <v>0.05</v>
          </cell>
          <cell r="I53"/>
        </row>
        <row r="54">
          <cell r="A54" t="str">
            <v>LUXOTTICA</v>
          </cell>
          <cell r="B54" t="str">
            <v>R00078</v>
          </cell>
          <cell r="E54" t="str">
            <v>LUXOTTICADolce&amp;GabbanaSolaire</v>
          </cell>
          <cell r="F54">
            <v>0.05</v>
          </cell>
          <cell r="G54">
            <v>0</v>
          </cell>
          <cell r="H54">
            <v>0.05</v>
          </cell>
          <cell r="I54"/>
        </row>
        <row r="55">
          <cell r="A55" t="str">
            <v>LUXOTTICA</v>
          </cell>
          <cell r="B55" t="str">
            <v>R00078</v>
          </cell>
          <cell r="E55" t="str">
            <v>LUXOTTICAPersolOptique</v>
          </cell>
          <cell r="F55">
            <v>0.05</v>
          </cell>
          <cell r="G55">
            <v>0</v>
          </cell>
          <cell r="H55">
            <v>0.05</v>
          </cell>
          <cell r="I55"/>
        </row>
        <row r="56">
          <cell r="A56" t="str">
            <v>LUXOTTICA</v>
          </cell>
          <cell r="B56" t="str">
            <v>R00078</v>
          </cell>
          <cell r="E56" t="str">
            <v>LUXOTTICAPersolSolaire</v>
          </cell>
          <cell r="F56">
            <v>0.05</v>
          </cell>
          <cell r="G56">
            <v>0</v>
          </cell>
          <cell r="H56">
            <v>0.05</v>
          </cell>
          <cell r="I56"/>
        </row>
        <row r="57">
          <cell r="A57" t="str">
            <v>LUXOTTICA</v>
          </cell>
          <cell r="B57" t="str">
            <v>R00078</v>
          </cell>
          <cell r="E57" t="str">
            <v>LUXOTTICAPradaOptique</v>
          </cell>
          <cell r="F57">
            <v>0.05</v>
          </cell>
          <cell r="G57">
            <v>0</v>
          </cell>
          <cell r="H57">
            <v>0.05</v>
          </cell>
          <cell r="I57"/>
        </row>
        <row r="58">
          <cell r="A58" t="str">
            <v>LUXOTTICA</v>
          </cell>
          <cell r="B58" t="str">
            <v>R00078</v>
          </cell>
          <cell r="E58" t="str">
            <v>LUXOTTICAPradaSolaire</v>
          </cell>
          <cell r="F58">
            <v>0.05</v>
          </cell>
          <cell r="G58">
            <v>0</v>
          </cell>
          <cell r="H58">
            <v>0.05</v>
          </cell>
          <cell r="I58"/>
        </row>
        <row r="59">
          <cell r="A59" t="str">
            <v>LUXOTTICA</v>
          </cell>
          <cell r="B59" t="str">
            <v>R00078</v>
          </cell>
          <cell r="E59" t="str">
            <v>LUXOTTICAVersaceOptique</v>
          </cell>
          <cell r="F59">
            <v>0.05</v>
          </cell>
          <cell r="G59">
            <v>0</v>
          </cell>
          <cell r="H59">
            <v>0.05</v>
          </cell>
          <cell r="I59"/>
        </row>
        <row r="60">
          <cell r="A60" t="str">
            <v>LUXOTTICA</v>
          </cell>
          <cell r="B60" t="str">
            <v>R00078</v>
          </cell>
          <cell r="E60" t="str">
            <v>LUXOTTICAVersaceSolaire</v>
          </cell>
          <cell r="F60">
            <v>0</v>
          </cell>
          <cell r="G60">
            <v>0</v>
          </cell>
          <cell r="H60">
            <v>0</v>
          </cell>
          <cell r="I60"/>
        </row>
        <row r="61">
          <cell r="A61" t="str">
            <v>MARCHON</v>
          </cell>
          <cell r="B61" t="str">
            <v>R00079</v>
          </cell>
          <cell r="E61" t="str">
            <v>MARCHONKarl LagerfeldOptique</v>
          </cell>
          <cell r="F61">
            <v>0</v>
          </cell>
          <cell r="G61">
            <v>4.7800000000000002E-2</v>
          </cell>
          <cell r="H61">
            <v>0.3</v>
          </cell>
          <cell r="I61" t="str">
            <v>Oui</v>
          </cell>
        </row>
        <row r="62">
          <cell r="A62" t="str">
            <v>MARCHON</v>
          </cell>
          <cell r="B62" t="str">
            <v>R00079</v>
          </cell>
          <cell r="E62" t="str">
            <v>MARCHONKarl LagerfeldSolaire</v>
          </cell>
          <cell r="F62">
            <v>0</v>
          </cell>
          <cell r="G62">
            <v>4.7800000000000002E-2</v>
          </cell>
          <cell r="H62">
            <v>0.3</v>
          </cell>
          <cell r="I62"/>
        </row>
        <row r="63">
          <cell r="A63" t="str">
            <v>MARCHON</v>
          </cell>
          <cell r="B63" t="str">
            <v>R00079</v>
          </cell>
          <cell r="E63" t="str">
            <v>MARCHONLacosteOptique</v>
          </cell>
          <cell r="F63">
            <v>0.08</v>
          </cell>
          <cell r="G63">
            <v>4.7800000000000002E-2</v>
          </cell>
          <cell r="H63">
            <v>0.3</v>
          </cell>
          <cell r="I63"/>
        </row>
        <row r="64">
          <cell r="A64" t="str">
            <v>MARCHON</v>
          </cell>
          <cell r="B64" t="str">
            <v>R00079</v>
          </cell>
          <cell r="E64" t="str">
            <v>MARCHONLacosteSolaire</v>
          </cell>
          <cell r="F64">
            <v>0.08</v>
          </cell>
          <cell r="G64">
            <v>4.7800000000000002E-2</v>
          </cell>
          <cell r="H64">
            <v>0.3</v>
          </cell>
          <cell r="I64"/>
        </row>
        <row r="65">
          <cell r="A65" t="str">
            <v>MARCHON</v>
          </cell>
          <cell r="B65" t="str">
            <v>R00079</v>
          </cell>
          <cell r="E65" t="str">
            <v>MARCHONCalvin KleinOptique</v>
          </cell>
          <cell r="F65">
            <v>0.08</v>
          </cell>
          <cell r="G65">
            <v>4.7800000000000002E-2</v>
          </cell>
          <cell r="H65">
            <v>0.3</v>
          </cell>
          <cell r="I65"/>
        </row>
        <row r="66">
          <cell r="A66" t="str">
            <v>MARCHON</v>
          </cell>
          <cell r="B66" t="str">
            <v>R00079</v>
          </cell>
          <cell r="E66" t="str">
            <v>MARCHONCalvin KleinSolaire</v>
          </cell>
          <cell r="F66">
            <v>0.08</v>
          </cell>
          <cell r="G66">
            <v>4.7800000000000002E-2</v>
          </cell>
          <cell r="H66">
            <v>0.3</v>
          </cell>
          <cell r="I66"/>
        </row>
        <row r="67">
          <cell r="A67" t="str">
            <v>MARCHON</v>
          </cell>
          <cell r="B67" t="str">
            <v>R00079</v>
          </cell>
          <cell r="E67" t="str">
            <v>MARCHONLongchampOptique</v>
          </cell>
          <cell r="F67">
            <v>0</v>
          </cell>
          <cell r="G67">
            <v>4.7800000000000002E-2</v>
          </cell>
          <cell r="H67">
            <v>0.15</v>
          </cell>
          <cell r="I67"/>
        </row>
        <row r="68">
          <cell r="A68" t="str">
            <v>MARCHON</v>
          </cell>
          <cell r="B68" t="str">
            <v>R00079</v>
          </cell>
          <cell r="E68" t="str">
            <v>MARCHONLongchampSolaire</v>
          </cell>
          <cell r="F68">
            <v>0</v>
          </cell>
          <cell r="G68">
            <v>4.7800000000000002E-2</v>
          </cell>
          <cell r="H68">
            <v>0.15</v>
          </cell>
          <cell r="I68"/>
        </row>
        <row r="69">
          <cell r="A69" t="str">
            <v>MARCHON</v>
          </cell>
          <cell r="B69" t="str">
            <v>R00079</v>
          </cell>
          <cell r="E69" t="str">
            <v>MARCHONNikeOptique</v>
          </cell>
          <cell r="F69">
            <v>0.05</v>
          </cell>
          <cell r="G69">
            <v>4.7800000000000002E-2</v>
          </cell>
          <cell r="H69">
            <v>0.3</v>
          </cell>
          <cell r="I69"/>
        </row>
        <row r="70">
          <cell r="A70" t="str">
            <v>MARCHON</v>
          </cell>
          <cell r="B70" t="str">
            <v>R00079</v>
          </cell>
          <cell r="E70" t="str">
            <v>MARCHONNikeSolaire</v>
          </cell>
          <cell r="F70">
            <v>0.05</v>
          </cell>
          <cell r="G70">
            <v>4.7800000000000002E-2</v>
          </cell>
          <cell r="H70">
            <v>0.3</v>
          </cell>
          <cell r="I70"/>
        </row>
        <row r="71">
          <cell r="A71" t="str">
            <v>MARCOLIN</v>
          </cell>
          <cell r="B71" t="str">
            <v>R00080</v>
          </cell>
          <cell r="E71" t="str">
            <v>MARCOLINDieselOptique</v>
          </cell>
          <cell r="F71">
            <v>0.12</v>
          </cell>
          <cell r="G71">
            <v>0</v>
          </cell>
          <cell r="H71">
            <v>0.35</v>
          </cell>
          <cell r="I71" t="str">
            <v>Oui</v>
          </cell>
        </row>
        <row r="72">
          <cell r="A72" t="str">
            <v>MARCOLIN</v>
          </cell>
          <cell r="B72" t="str">
            <v>R00080</v>
          </cell>
          <cell r="E72" t="str">
            <v>MARCOLINDieselSolaire</v>
          </cell>
          <cell r="F72">
            <v>0.12</v>
          </cell>
          <cell r="G72">
            <v>0</v>
          </cell>
          <cell r="H72">
            <v>0.35</v>
          </cell>
          <cell r="I72"/>
        </row>
        <row r="73">
          <cell r="A73" t="str">
            <v>MARCOLIN</v>
          </cell>
          <cell r="B73" t="str">
            <v>R00080</v>
          </cell>
          <cell r="E73" t="str">
            <v>MARCOLINGuessOptique</v>
          </cell>
          <cell r="F73">
            <v>0.12</v>
          </cell>
          <cell r="G73">
            <v>0.1</v>
          </cell>
          <cell r="H73">
            <v>0.35</v>
          </cell>
          <cell r="I73"/>
        </row>
        <row r="74">
          <cell r="A74" t="str">
            <v>MARCOLIN</v>
          </cell>
          <cell r="B74" t="str">
            <v>R00080</v>
          </cell>
          <cell r="E74" t="str">
            <v>MARCOLINGuessSolaire</v>
          </cell>
          <cell r="F74">
            <v>0.12</v>
          </cell>
          <cell r="G74">
            <v>0.1</v>
          </cell>
          <cell r="H74">
            <v>0.35</v>
          </cell>
          <cell r="I74"/>
        </row>
        <row r="75">
          <cell r="A75" t="str">
            <v>MENRAD</v>
          </cell>
          <cell r="B75" t="str">
            <v>R00087</v>
          </cell>
          <cell r="E75" t="str">
            <v>MENRADMorganOptique</v>
          </cell>
          <cell r="F75">
            <v>0.08</v>
          </cell>
          <cell r="G75">
            <v>0.121</v>
          </cell>
          <cell r="H75">
            <v>0.4</v>
          </cell>
          <cell r="I75" t="str">
            <v>Oui</v>
          </cell>
        </row>
        <row r="76">
          <cell r="A76" t="str">
            <v>MENRAD</v>
          </cell>
          <cell r="B76" t="str">
            <v>R00087</v>
          </cell>
          <cell r="E76" t="str">
            <v>MENRADMorganSolaire</v>
          </cell>
          <cell r="F76">
            <v>0.08</v>
          </cell>
          <cell r="G76">
            <v>0.121</v>
          </cell>
          <cell r="H76">
            <v>0.37</v>
          </cell>
          <cell r="I76"/>
        </row>
        <row r="77">
          <cell r="A77" t="str">
            <v>COMO SAS</v>
          </cell>
          <cell r="B77" t="str">
            <v>R01286</v>
          </cell>
          <cell r="E77" t="str">
            <v>COMO SASChristian LacroixOptique</v>
          </cell>
          <cell r="F77">
            <v>0.05</v>
          </cell>
          <cell r="G77">
            <v>0.03</v>
          </cell>
          <cell r="H77">
            <v>0.3</v>
          </cell>
          <cell r="I77" t="str">
            <v>Oui</v>
          </cell>
        </row>
        <row r="78">
          <cell r="A78" t="str">
            <v>COMO SAS</v>
          </cell>
          <cell r="B78" t="str">
            <v>R01286</v>
          </cell>
          <cell r="E78" t="str">
            <v>COMO SASChristian LacroixSolaire</v>
          </cell>
          <cell r="F78">
            <v>0.05</v>
          </cell>
          <cell r="G78">
            <v>0.03</v>
          </cell>
          <cell r="H78">
            <v>0.3</v>
          </cell>
          <cell r="I78"/>
        </row>
        <row r="79">
          <cell r="A79" t="str">
            <v>ODLM</v>
          </cell>
          <cell r="B79" t="str">
            <v>R00095</v>
          </cell>
          <cell r="E79" t="str">
            <v>ODLMFaçonnable ProgressdesignOptique</v>
          </cell>
          <cell r="F79">
            <v>0.08</v>
          </cell>
          <cell r="G79">
            <v>7.0000000000000007E-2</v>
          </cell>
          <cell r="H79">
            <v>0.35</v>
          </cell>
          <cell r="I79" t="str">
            <v>Oui</v>
          </cell>
        </row>
        <row r="80">
          <cell r="A80" t="str">
            <v>ODLM</v>
          </cell>
          <cell r="B80" t="str">
            <v>R00095</v>
          </cell>
          <cell r="E80" t="str">
            <v>ODLMFaçonnableOptique</v>
          </cell>
          <cell r="F80">
            <v>0.08</v>
          </cell>
          <cell r="G80">
            <v>7.0000000000000007E-2</v>
          </cell>
          <cell r="H80">
            <v>0.35</v>
          </cell>
          <cell r="I80"/>
        </row>
        <row r="81">
          <cell r="A81" t="str">
            <v>ODLM</v>
          </cell>
          <cell r="B81" t="str">
            <v>R00095</v>
          </cell>
          <cell r="E81" t="str">
            <v>ODLMFaçonnableSolaire</v>
          </cell>
          <cell r="F81">
            <v>0.08</v>
          </cell>
          <cell r="G81">
            <v>7.0000000000000007E-2</v>
          </cell>
          <cell r="H81">
            <v>0.35</v>
          </cell>
          <cell r="I81"/>
        </row>
        <row r="82">
          <cell r="A82" t="str">
            <v>ODLM</v>
          </cell>
          <cell r="B82" t="str">
            <v>R00095</v>
          </cell>
          <cell r="E82" t="str">
            <v>ODLMFaçonnable JeansOptique</v>
          </cell>
          <cell r="F82">
            <v>0.08</v>
          </cell>
          <cell r="G82">
            <v>7.0000000000000007E-2</v>
          </cell>
          <cell r="H82">
            <v>0.35</v>
          </cell>
          <cell r="I82"/>
        </row>
        <row r="83">
          <cell r="A83" t="str">
            <v>ODLM</v>
          </cell>
          <cell r="B83" t="str">
            <v>R00095</v>
          </cell>
          <cell r="E83" t="str">
            <v>ODLMFaçonnable New VintageOptique</v>
          </cell>
          <cell r="F83">
            <v>0.08</v>
          </cell>
          <cell r="G83">
            <v>7.0000000000000007E-2</v>
          </cell>
          <cell r="H83">
            <v>0.35</v>
          </cell>
          <cell r="I83"/>
        </row>
        <row r="84">
          <cell r="A84" t="str">
            <v>ODLM</v>
          </cell>
          <cell r="B84" t="str">
            <v>R00095</v>
          </cell>
          <cell r="E84" t="str">
            <v>ODLMFaçonnable Pour Les GarçonsOptique</v>
          </cell>
          <cell r="F84">
            <v>0.08</v>
          </cell>
          <cell r="G84">
            <v>7.0000000000000007E-2</v>
          </cell>
          <cell r="H84">
            <v>0.35</v>
          </cell>
          <cell r="I84"/>
        </row>
        <row r="85">
          <cell r="A85" t="str">
            <v>OPTIC 2OOO</v>
          </cell>
          <cell r="B85"/>
          <cell r="E85"/>
          <cell r="F85">
            <v>0</v>
          </cell>
          <cell r="G85">
            <v>0</v>
          </cell>
          <cell r="H85">
            <v>0</v>
          </cell>
          <cell r="I85"/>
        </row>
        <row r="86">
          <cell r="A86" t="str">
            <v>OPAL</v>
          </cell>
          <cell r="B86" t="str">
            <v>R00099</v>
          </cell>
          <cell r="E86" t="str">
            <v>OPALDisney CarsOptique</v>
          </cell>
          <cell r="F86">
            <v>0</v>
          </cell>
          <cell r="G86">
            <v>0</v>
          </cell>
          <cell r="H86">
            <v>0.2</v>
          </cell>
          <cell r="I86" t="str">
            <v>Oui</v>
          </cell>
        </row>
        <row r="87">
          <cell r="A87" t="str">
            <v>OPAL</v>
          </cell>
          <cell r="B87" t="str">
            <v>R00099</v>
          </cell>
          <cell r="E87" t="str">
            <v>OPALDisney Reine Des NeigesOptique</v>
          </cell>
          <cell r="F87">
            <v>0</v>
          </cell>
          <cell r="G87">
            <v>0</v>
          </cell>
          <cell r="H87">
            <v>0.2</v>
          </cell>
          <cell r="I87"/>
        </row>
        <row r="88">
          <cell r="A88" t="str">
            <v>OPAL</v>
          </cell>
          <cell r="B88" t="str">
            <v>R00099</v>
          </cell>
          <cell r="E88" t="str">
            <v>OPALMinionsOptique</v>
          </cell>
          <cell r="F88">
            <v>0</v>
          </cell>
          <cell r="G88">
            <v>0</v>
          </cell>
          <cell r="H88">
            <v>0.2</v>
          </cell>
          <cell r="I88"/>
        </row>
        <row r="89">
          <cell r="A89" t="str">
            <v>OPAL</v>
          </cell>
          <cell r="B89" t="str">
            <v>R00099</v>
          </cell>
          <cell r="E89" t="str">
            <v>OPALAvengersOptique</v>
          </cell>
          <cell r="F89">
            <v>0</v>
          </cell>
          <cell r="G89">
            <v>0</v>
          </cell>
          <cell r="H89">
            <v>0.2</v>
          </cell>
          <cell r="I89"/>
        </row>
        <row r="90">
          <cell r="A90" t="str">
            <v>OPAL</v>
          </cell>
          <cell r="B90" t="str">
            <v>R00099</v>
          </cell>
          <cell r="E90" t="str">
            <v>OPALBéréniceOptique</v>
          </cell>
          <cell r="F90">
            <v>0</v>
          </cell>
          <cell r="G90">
            <v>0</v>
          </cell>
          <cell r="H90">
            <v>0.1</v>
          </cell>
          <cell r="I90"/>
        </row>
        <row r="91">
          <cell r="A91" t="str">
            <v>OPAL</v>
          </cell>
          <cell r="B91" t="str">
            <v>R00099</v>
          </cell>
          <cell r="E91" t="str">
            <v>OPALBéréniceSolaire</v>
          </cell>
          <cell r="F91">
            <v>0</v>
          </cell>
          <cell r="G91">
            <v>0</v>
          </cell>
          <cell r="H91">
            <v>0.1</v>
          </cell>
          <cell r="I91"/>
        </row>
        <row r="92">
          <cell r="A92" t="str">
            <v>OPAL</v>
          </cell>
          <cell r="B92" t="str">
            <v>R00099</v>
          </cell>
          <cell r="E92" t="str">
            <v>OPALSpider-ManOptique</v>
          </cell>
          <cell r="F92">
            <v>0</v>
          </cell>
          <cell r="G92">
            <v>0</v>
          </cell>
          <cell r="H92">
            <v>0.2</v>
          </cell>
          <cell r="I92"/>
        </row>
        <row r="93">
          <cell r="A93" t="str">
            <v>OPAL</v>
          </cell>
          <cell r="B93" t="str">
            <v>R00099</v>
          </cell>
          <cell r="E93" t="str">
            <v>OPALDEMETZOptique</v>
          </cell>
          <cell r="F93">
            <v>0</v>
          </cell>
          <cell r="G93">
            <v>0</v>
          </cell>
          <cell r="H93">
            <v>0.1</v>
          </cell>
          <cell r="I93"/>
        </row>
        <row r="94">
          <cell r="A94" t="str">
            <v>OPAL</v>
          </cell>
          <cell r="B94" t="str">
            <v>R00099</v>
          </cell>
          <cell r="E94" t="str">
            <v>OPALDEMETZSolaire</v>
          </cell>
          <cell r="F94">
            <v>0</v>
          </cell>
          <cell r="G94">
            <v>0</v>
          </cell>
          <cell r="H94">
            <v>0.1</v>
          </cell>
          <cell r="I94"/>
        </row>
        <row r="95">
          <cell r="A95" t="str">
            <v>OPAL</v>
          </cell>
          <cell r="B95" t="str">
            <v>R00099</v>
          </cell>
          <cell r="E95" t="str">
            <v>OPALTartine et ChocolatOptique</v>
          </cell>
          <cell r="F95">
            <v>0</v>
          </cell>
          <cell r="G95">
            <v>0</v>
          </cell>
          <cell r="H95">
            <v>0.2</v>
          </cell>
          <cell r="I95"/>
        </row>
        <row r="96">
          <cell r="A96" t="str">
            <v>OPAL</v>
          </cell>
          <cell r="B96" t="str">
            <v>R00099</v>
          </cell>
          <cell r="E96" t="str">
            <v>OPALHello KittyOptique</v>
          </cell>
          <cell r="F96">
            <v>0</v>
          </cell>
          <cell r="G96">
            <v>0</v>
          </cell>
          <cell r="H96">
            <v>0.2</v>
          </cell>
          <cell r="I96"/>
        </row>
        <row r="97">
          <cell r="A97" t="str">
            <v>SAFILO</v>
          </cell>
          <cell r="B97" t="str">
            <v>R00117</v>
          </cell>
          <cell r="E97" t="str">
            <v>SAFILOCarreraOptique</v>
          </cell>
          <cell r="F97">
            <v>0.12330000000000001</v>
          </cell>
          <cell r="G97">
            <v>0</v>
          </cell>
          <cell r="H97">
            <v>0.2</v>
          </cell>
          <cell r="I97">
            <v>0.1</v>
          </cell>
        </row>
        <row r="98">
          <cell r="A98" t="str">
            <v>SAFILO</v>
          </cell>
          <cell r="B98" t="str">
            <v>R00117</v>
          </cell>
          <cell r="E98" t="str">
            <v>SAFILOCarreraSolaire</v>
          </cell>
          <cell r="F98">
            <v>0.12330000000000001</v>
          </cell>
          <cell r="G98">
            <v>0</v>
          </cell>
          <cell r="H98">
            <v>0.2</v>
          </cell>
          <cell r="I98"/>
        </row>
        <row r="99">
          <cell r="A99" t="str">
            <v>SAFILO</v>
          </cell>
          <cell r="B99" t="str">
            <v>R00117</v>
          </cell>
          <cell r="E99" t="str">
            <v>SAFILOHugo BossOptique</v>
          </cell>
          <cell r="F99">
            <v>7.3300000000000004E-2</v>
          </cell>
          <cell r="G99">
            <v>0</v>
          </cell>
          <cell r="H99">
            <v>0.2</v>
          </cell>
          <cell r="I99"/>
        </row>
        <row r="100">
          <cell r="A100" t="str">
            <v>SAFILO</v>
          </cell>
          <cell r="B100" t="str">
            <v>R00117</v>
          </cell>
          <cell r="E100" t="str">
            <v>SAFILOHugo BossSolaire</v>
          </cell>
          <cell r="F100">
            <v>7.3300000000000004E-2</v>
          </cell>
          <cell r="G100">
            <v>0</v>
          </cell>
          <cell r="H100">
            <v>0.2</v>
          </cell>
          <cell r="I100"/>
        </row>
        <row r="101">
          <cell r="A101" t="str">
            <v>SAFILO</v>
          </cell>
          <cell r="B101" t="str">
            <v>R00117</v>
          </cell>
          <cell r="E101" t="str">
            <v>SAFILOHugoOptique</v>
          </cell>
          <cell r="F101">
            <v>7.3300000000000004E-2</v>
          </cell>
          <cell r="G101">
            <v>0</v>
          </cell>
          <cell r="H101">
            <v>0.2</v>
          </cell>
          <cell r="I101"/>
        </row>
        <row r="102">
          <cell r="A102" t="str">
            <v>SAFILO</v>
          </cell>
          <cell r="B102" t="str">
            <v>R00117</v>
          </cell>
          <cell r="E102" t="str">
            <v>SAFILOHugoSolaire</v>
          </cell>
          <cell r="F102">
            <v>7.3300000000000004E-2</v>
          </cell>
          <cell r="G102">
            <v>0</v>
          </cell>
          <cell r="H102">
            <v>0.2</v>
          </cell>
          <cell r="I102"/>
        </row>
        <row r="103">
          <cell r="A103" t="str">
            <v>SAFILO</v>
          </cell>
          <cell r="B103" t="str">
            <v>R00117</v>
          </cell>
          <cell r="E103" t="str">
            <v>SAFILOBoss OrangeOptique</v>
          </cell>
          <cell r="F103">
            <v>8.6599999999999996E-2</v>
          </cell>
          <cell r="G103">
            <v>0</v>
          </cell>
          <cell r="H103">
            <v>0.2</v>
          </cell>
          <cell r="I103"/>
        </row>
        <row r="104">
          <cell r="A104" t="str">
            <v>SAFILO</v>
          </cell>
          <cell r="B104" t="str">
            <v>R00117</v>
          </cell>
          <cell r="E104" t="str">
            <v>SAFILOBoss OrangeSolaire</v>
          </cell>
          <cell r="F104">
            <v>8.6599999999999996E-2</v>
          </cell>
          <cell r="G104">
            <v>0</v>
          </cell>
          <cell r="H104">
            <v>0.2</v>
          </cell>
          <cell r="I104"/>
        </row>
        <row r="105">
          <cell r="A105" t="str">
            <v>SAFILO</v>
          </cell>
          <cell r="B105" t="str">
            <v>R00117</v>
          </cell>
          <cell r="E105" t="str">
            <v>SAFILOMarc JacobsOptique</v>
          </cell>
          <cell r="F105">
            <v>7.3300000000000004E-2</v>
          </cell>
          <cell r="G105">
            <v>0</v>
          </cell>
          <cell r="H105">
            <v>0.2</v>
          </cell>
          <cell r="I105"/>
        </row>
        <row r="106">
          <cell r="A106" t="str">
            <v>SAFILO</v>
          </cell>
          <cell r="B106" t="str">
            <v>R00117</v>
          </cell>
          <cell r="E106" t="str">
            <v>SAFILOMarc JacobsSolaire</v>
          </cell>
          <cell r="F106">
            <v>7.3300000000000004E-2</v>
          </cell>
          <cell r="G106">
            <v>0</v>
          </cell>
          <cell r="H106">
            <v>0.2</v>
          </cell>
          <cell r="I106"/>
        </row>
        <row r="107">
          <cell r="A107" t="str">
            <v>SAFILO</v>
          </cell>
          <cell r="B107" t="str">
            <v>R00117</v>
          </cell>
          <cell r="E107" t="str">
            <v>SAFILOPolaroidOptique</v>
          </cell>
          <cell r="F107">
            <v>0.12330000000000001</v>
          </cell>
          <cell r="G107">
            <v>0</v>
          </cell>
          <cell r="H107">
            <v>0.24</v>
          </cell>
          <cell r="I107"/>
        </row>
        <row r="108">
          <cell r="A108" t="str">
            <v>SAFILO</v>
          </cell>
          <cell r="B108" t="str">
            <v>R00117</v>
          </cell>
          <cell r="E108" t="str">
            <v>SAFILOPolaroidSolaire</v>
          </cell>
          <cell r="F108">
            <v>0.12330000000000001</v>
          </cell>
          <cell r="G108">
            <v>0</v>
          </cell>
          <cell r="H108">
            <v>0.24</v>
          </cell>
          <cell r="I108"/>
        </row>
        <row r="109">
          <cell r="A109" t="str">
            <v>SEAPORT</v>
          </cell>
          <cell r="B109" t="str">
            <v>R01064</v>
          </cell>
          <cell r="E109" t="str">
            <v>SEAPORTKosbyOptique</v>
          </cell>
          <cell r="F109">
            <v>0.08</v>
          </cell>
          <cell r="G109">
            <v>7.2999999999999995E-2</v>
          </cell>
          <cell r="H109">
            <v>0.35</v>
          </cell>
          <cell r="I109" t="str">
            <v>Oui</v>
          </cell>
        </row>
        <row r="110">
          <cell r="A110" t="str">
            <v>SEAPORT</v>
          </cell>
          <cell r="B110" t="str">
            <v>R01064</v>
          </cell>
          <cell r="E110" t="str">
            <v>SEAPORTKosbySolaire</v>
          </cell>
          <cell r="F110">
            <v>0.08</v>
          </cell>
          <cell r="G110">
            <v>7.2999999999999995E-2</v>
          </cell>
          <cell r="H110">
            <v>0.35</v>
          </cell>
          <cell r="I110"/>
        </row>
        <row r="111">
          <cell r="A111" t="str">
            <v>SEAPORT</v>
          </cell>
          <cell r="B111" t="str">
            <v>R01064</v>
          </cell>
          <cell r="E111" t="str">
            <v>SEAPORTLittle Paul &amp; JoeOptique</v>
          </cell>
          <cell r="F111">
            <v>0.08</v>
          </cell>
          <cell r="G111">
            <v>7.2999999999999995E-2</v>
          </cell>
          <cell r="H111">
            <v>0.3</v>
          </cell>
          <cell r="I111"/>
        </row>
        <row r="112">
          <cell r="A112" t="str">
            <v>SEAPORT</v>
          </cell>
          <cell r="B112" t="str">
            <v>R01064</v>
          </cell>
          <cell r="E112" t="str">
            <v>SEAPORTPaul &amp; JoeOptique</v>
          </cell>
          <cell r="F112">
            <v>0.08</v>
          </cell>
          <cell r="G112">
            <v>7.2999999999999995E-2</v>
          </cell>
          <cell r="H112">
            <v>0.3</v>
          </cell>
          <cell r="I112"/>
        </row>
        <row r="113">
          <cell r="A113" t="str">
            <v>SEAPORT</v>
          </cell>
          <cell r="B113" t="str">
            <v>R01064</v>
          </cell>
          <cell r="E113" t="str">
            <v>SEAPORTPaul &amp; JoeSolaire</v>
          </cell>
          <cell r="F113">
            <v>0.08</v>
          </cell>
          <cell r="G113">
            <v>7.2999999999999995E-2</v>
          </cell>
          <cell r="H113">
            <v>0.3</v>
          </cell>
          <cell r="I113"/>
        </row>
        <row r="114">
          <cell r="A114" t="str">
            <v>SEAPORT</v>
          </cell>
          <cell r="B114" t="str">
            <v>R01064</v>
          </cell>
          <cell r="E114" t="str">
            <v>SEAPORTCARVENOptique</v>
          </cell>
          <cell r="F114">
            <v>0.08</v>
          </cell>
          <cell r="G114">
            <v>7.2999999999999995E-2</v>
          </cell>
          <cell r="H114">
            <v>0.3</v>
          </cell>
          <cell r="I114"/>
        </row>
        <row r="115">
          <cell r="A115" t="str">
            <v>SEAPORT</v>
          </cell>
          <cell r="B115" t="str">
            <v>R01064</v>
          </cell>
          <cell r="E115" t="str">
            <v>SEAPORTCARVENSolaire</v>
          </cell>
          <cell r="F115">
            <v>0.08</v>
          </cell>
          <cell r="G115">
            <v>7.2999999999999995E-2</v>
          </cell>
          <cell r="H115">
            <v>0.3</v>
          </cell>
          <cell r="I115"/>
        </row>
        <row r="116">
          <cell r="A116" t="str">
            <v>SEAPORT</v>
          </cell>
          <cell r="B116" t="str">
            <v>R01064</v>
          </cell>
          <cell r="E116" t="str">
            <v>SEAPORTBA&amp;SHSolaire</v>
          </cell>
          <cell r="F116">
            <v>0.08</v>
          </cell>
          <cell r="G116">
            <v>7.2999999999999995E-2</v>
          </cell>
          <cell r="H116">
            <v>0.3</v>
          </cell>
          <cell r="I116"/>
        </row>
        <row r="117">
          <cell r="A117" t="str">
            <v>SEAPORT</v>
          </cell>
          <cell r="B117" t="str">
            <v>R01064</v>
          </cell>
          <cell r="E117" t="str">
            <v>SEAPORTBA&amp;SHOptique</v>
          </cell>
          <cell r="F117">
            <v>0.08</v>
          </cell>
          <cell r="G117">
            <v>7.2999999999999995E-2</v>
          </cell>
          <cell r="H117">
            <v>0.3</v>
          </cell>
          <cell r="I117"/>
        </row>
        <row r="118">
          <cell r="A118" t="str">
            <v>VISIOPTIS</v>
          </cell>
          <cell r="B118" t="str">
            <v>R01285</v>
          </cell>
          <cell r="E118" t="str">
            <v>VISIOPTISBanana MoonOptique</v>
          </cell>
          <cell r="F118">
            <v>0.08</v>
          </cell>
          <cell r="G118">
            <v>0</v>
          </cell>
          <cell r="H118">
            <v>0.4</v>
          </cell>
          <cell r="I118" t="str">
            <v>Oui</v>
          </cell>
        </row>
        <row r="119">
          <cell r="A119" t="str">
            <v>VISIOPTIS</v>
          </cell>
          <cell r="B119" t="str">
            <v>R01285</v>
          </cell>
          <cell r="E119" t="str">
            <v>VISIOPTISBanana MoonSolaire</v>
          </cell>
          <cell r="F119">
            <v>0.08</v>
          </cell>
          <cell r="G119">
            <v>0</v>
          </cell>
          <cell r="H119">
            <v>0.4</v>
          </cell>
          <cell r="I119"/>
        </row>
        <row r="120">
          <cell r="A120" t="str">
            <v>VUARNET</v>
          </cell>
          <cell r="B120" t="str">
            <v>R00124</v>
          </cell>
          <cell r="E120" t="str">
            <v>VUARNETVuarnetOptique</v>
          </cell>
          <cell r="F120">
            <v>0.04</v>
          </cell>
          <cell r="G120">
            <v>5.3999999999999999E-2</v>
          </cell>
          <cell r="H120">
            <v>0.3</v>
          </cell>
          <cell r="I120" t="str">
            <v>Oui</v>
          </cell>
        </row>
        <row r="121">
          <cell r="A121" t="str">
            <v>VUARNET</v>
          </cell>
          <cell r="B121" t="str">
            <v>R00124</v>
          </cell>
          <cell r="E121" t="str">
            <v>VUARNETVuarnetSolaire</v>
          </cell>
          <cell r="F121">
            <v>0.08</v>
          </cell>
          <cell r="G121">
            <v>5.3999999999999999E-2</v>
          </cell>
          <cell r="H121">
            <v>0.23</v>
          </cell>
          <cell r="I121"/>
        </row>
        <row r="122">
          <cell r="A122" t="str">
            <v>OPTIC 2OOO</v>
          </cell>
          <cell r="B122"/>
          <cell r="E122" t="str">
            <v>OPTIC 2OOODrew'sOptique</v>
          </cell>
          <cell r="F122">
            <v>0</v>
          </cell>
          <cell r="G122">
            <v>0</v>
          </cell>
          <cell r="H122">
            <v>0</v>
          </cell>
          <cell r="I122"/>
        </row>
        <row r="123">
          <cell r="A123" t="str">
            <v>OPTIC 2OOO</v>
          </cell>
          <cell r="B123"/>
          <cell r="E123" t="str">
            <v>OPTIC 2OOODrew'sSolaire</v>
          </cell>
          <cell r="F123">
            <v>0</v>
          </cell>
          <cell r="G123">
            <v>0</v>
          </cell>
          <cell r="H123">
            <v>0</v>
          </cell>
          <cell r="I123"/>
        </row>
        <row r="124">
          <cell r="A124" t="str">
            <v>OPTIC 2OOO</v>
          </cell>
          <cell r="B124"/>
          <cell r="E124" t="str">
            <v>OPTIC 2OOOMedleyOptique</v>
          </cell>
          <cell r="F124">
            <v>0</v>
          </cell>
          <cell r="G124">
            <v>0</v>
          </cell>
          <cell r="H124">
            <v>0</v>
          </cell>
          <cell r="I124"/>
        </row>
        <row r="125">
          <cell r="A125" t="str">
            <v>OPTIC 2OOO</v>
          </cell>
          <cell r="B125"/>
          <cell r="E125" t="str">
            <v>OPTIC 2OOOMedleySolaire</v>
          </cell>
          <cell r="F125">
            <v>0</v>
          </cell>
          <cell r="G125">
            <v>0</v>
          </cell>
          <cell r="H125">
            <v>0</v>
          </cell>
          <cell r="I125"/>
        </row>
        <row r="126">
          <cell r="A126" t="str">
            <v>OPTIC 2OOO</v>
          </cell>
          <cell r="B126"/>
          <cell r="E126" t="str">
            <v>OPTIC 2OOOMedley SportSolaire</v>
          </cell>
          <cell r="F126">
            <v>0</v>
          </cell>
          <cell r="G126">
            <v>0</v>
          </cell>
          <cell r="H126">
            <v>0</v>
          </cell>
          <cell r="I126"/>
        </row>
        <row r="127">
          <cell r="A127" t="str">
            <v>OPTIC 2OOO</v>
          </cell>
          <cell r="B127"/>
          <cell r="E127" t="str">
            <v>OPTIC 2OOOSea2seeOptique</v>
          </cell>
          <cell r="F127">
            <v>0</v>
          </cell>
          <cell r="G127">
            <v>0</v>
          </cell>
          <cell r="H127">
            <v>0</v>
          </cell>
          <cell r="I127"/>
        </row>
        <row r="128">
          <cell r="A128" t="str">
            <v>OPTIC 2OOO</v>
          </cell>
          <cell r="B128"/>
          <cell r="E128" t="str">
            <v>OPTIC 2OOOSea2seeSolaire</v>
          </cell>
          <cell r="F128">
            <v>0</v>
          </cell>
          <cell r="G128">
            <v>0</v>
          </cell>
          <cell r="H128">
            <v>0</v>
          </cell>
          <cell r="I128"/>
        </row>
        <row r="129">
          <cell r="A129" t="str">
            <v>OPTIC 2OOO</v>
          </cell>
          <cell r="B129"/>
          <cell r="E129" t="str">
            <v>OPTIC 2OOOPure DesignOptique</v>
          </cell>
          <cell r="F129">
            <v>0</v>
          </cell>
          <cell r="G129">
            <v>0</v>
          </cell>
          <cell r="H129">
            <v>0</v>
          </cell>
          <cell r="I129"/>
        </row>
        <row r="130">
          <cell r="A130" t="str">
            <v>OPTIC 2OOO</v>
          </cell>
          <cell r="B130"/>
          <cell r="E130" t="str">
            <v>OPTIC 2OOOEvermanOptique</v>
          </cell>
          <cell r="F130">
            <v>0</v>
          </cell>
          <cell r="G130">
            <v>0</v>
          </cell>
          <cell r="H130">
            <v>0</v>
          </cell>
          <cell r="I130"/>
        </row>
        <row r="131">
          <cell r="A131" t="str">
            <v>OPTIC 2OOO</v>
          </cell>
          <cell r="B131"/>
          <cell r="E131" t="str">
            <v>OPTIC 2OOOI-titaneOptique</v>
          </cell>
          <cell r="F131">
            <v>0</v>
          </cell>
          <cell r="G131">
            <v>0</v>
          </cell>
          <cell r="H131">
            <v>0</v>
          </cell>
          <cell r="I131"/>
        </row>
        <row r="132">
          <cell r="A132" t="str">
            <v>OPTIC 2OOO</v>
          </cell>
          <cell r="B132"/>
          <cell r="E132" t="str">
            <v>OPTIC 2OOOCosmopolitanOptique</v>
          </cell>
          <cell r="F132">
            <v>0</v>
          </cell>
          <cell r="G132">
            <v>0</v>
          </cell>
          <cell r="H132">
            <v>0</v>
          </cell>
          <cell r="I132"/>
        </row>
        <row r="133">
          <cell r="A133" t="str">
            <v>OPTIC 2OOO</v>
          </cell>
          <cell r="B133"/>
          <cell r="E133" t="str">
            <v>OPTIC 2OOOCosmopolitanSolaire</v>
          </cell>
          <cell r="F133">
            <v>0</v>
          </cell>
          <cell r="G133">
            <v>0</v>
          </cell>
          <cell r="H133">
            <v>0</v>
          </cell>
          <cell r="I133"/>
        </row>
        <row r="134">
          <cell r="A134" t="str">
            <v>OPTIC 2OOO</v>
          </cell>
          <cell r="B134"/>
          <cell r="E134" t="str">
            <v>OPTIC 2OOOJawOptique</v>
          </cell>
          <cell r="F134">
            <v>0</v>
          </cell>
          <cell r="G134">
            <v>0</v>
          </cell>
          <cell r="H134">
            <v>0</v>
          </cell>
          <cell r="I134"/>
        </row>
        <row r="135">
          <cell r="A135" t="str">
            <v>OPTIC 2OOO</v>
          </cell>
          <cell r="B135"/>
          <cell r="E135" t="str">
            <v>OPTIC 2OOOGabin &amp; LéonieOptique</v>
          </cell>
          <cell r="F135">
            <v>0</v>
          </cell>
          <cell r="G135">
            <v>0</v>
          </cell>
          <cell r="H135">
            <v>0</v>
          </cell>
          <cell r="I135"/>
        </row>
        <row r="136">
          <cell r="A136" t="str">
            <v>OPTIC 2OOO</v>
          </cell>
          <cell r="B136"/>
          <cell r="E136" t="str">
            <v>OPTIC 2OOOBailaOptique</v>
          </cell>
          <cell r="F136">
            <v>0</v>
          </cell>
          <cell r="G136">
            <v>0</v>
          </cell>
          <cell r="H136">
            <v>0</v>
          </cell>
          <cell r="I136"/>
        </row>
        <row r="137">
          <cell r="A137" t="str">
            <v>OPTIC 2OOO</v>
          </cell>
          <cell r="B137"/>
          <cell r="E137" t="str">
            <v>OPTIC 2OOOBailaSolaire</v>
          </cell>
          <cell r="F137">
            <v>0</v>
          </cell>
          <cell r="G137">
            <v>0</v>
          </cell>
          <cell r="H137">
            <v>0</v>
          </cell>
          <cell r="I137"/>
        </row>
        <row r="138">
          <cell r="A138" t="str">
            <v>OPTIC 2OOO</v>
          </cell>
          <cell r="B138"/>
          <cell r="E138" t="str">
            <v>OPTIC 2OOOTangoOptique</v>
          </cell>
          <cell r="F138">
            <v>0</v>
          </cell>
          <cell r="G138">
            <v>0</v>
          </cell>
          <cell r="H138">
            <v>0</v>
          </cell>
          <cell r="I138"/>
        </row>
        <row r="139">
          <cell r="A139" t="str">
            <v>OPTIC 2OOO</v>
          </cell>
          <cell r="B139"/>
          <cell r="E139" t="str">
            <v>OPTIC 2OOOTangoSolaire</v>
          </cell>
          <cell r="F139">
            <v>0</v>
          </cell>
          <cell r="G139">
            <v>0</v>
          </cell>
          <cell r="H139">
            <v>0</v>
          </cell>
          <cell r="I139"/>
        </row>
        <row r="140">
          <cell r="A140" t="str">
            <v>OPTIC 2OOO</v>
          </cell>
          <cell r="B140"/>
          <cell r="E140" t="str">
            <v>OPTIC 2OOOKumquatOptique</v>
          </cell>
          <cell r="F140">
            <v>0</v>
          </cell>
          <cell r="G140">
            <v>0</v>
          </cell>
          <cell r="H140">
            <v>0</v>
          </cell>
          <cell r="I140"/>
        </row>
        <row r="141">
          <cell r="A141" t="str">
            <v>OPTIC 2OOO</v>
          </cell>
          <cell r="B141"/>
          <cell r="E141" t="str">
            <v>OPTIC 2OOOKumquatSolaire</v>
          </cell>
          <cell r="F141">
            <v>0</v>
          </cell>
          <cell r="G141">
            <v>0</v>
          </cell>
          <cell r="H141">
            <v>0</v>
          </cell>
          <cell r="I141"/>
        </row>
        <row r="142">
          <cell r="A142" t="str">
            <v>OPTIC 2OOO</v>
          </cell>
          <cell r="B142"/>
          <cell r="E142" t="str">
            <v>OPTIC 2OOOMorphozOptique</v>
          </cell>
          <cell r="F142">
            <v>0</v>
          </cell>
          <cell r="G142">
            <v>0</v>
          </cell>
          <cell r="H142">
            <v>0</v>
          </cell>
          <cell r="I142"/>
        </row>
        <row r="143">
          <cell r="A143" t="str">
            <v>OPTIC 2OOO</v>
          </cell>
          <cell r="B143"/>
          <cell r="E143" t="str">
            <v>OPTIC 2OOOWhaooOptique</v>
          </cell>
          <cell r="F143">
            <v>0</v>
          </cell>
          <cell r="G143">
            <v>0</v>
          </cell>
          <cell r="H143">
            <v>0</v>
          </cell>
          <cell r="I143"/>
        </row>
        <row r="144">
          <cell r="A144" t="str">
            <v>OPTIC 2OOO</v>
          </cell>
          <cell r="B144"/>
          <cell r="E144" t="str">
            <v>OPTIC 2OOOAttitude SantéOptique</v>
          </cell>
          <cell r="F144">
            <v>0</v>
          </cell>
          <cell r="G144">
            <v>0</v>
          </cell>
          <cell r="H144">
            <v>0</v>
          </cell>
          <cell r="I144"/>
        </row>
        <row r="145">
          <cell r="A145" t="str">
            <v>LISSAC</v>
          </cell>
          <cell r="B145"/>
          <cell r="E145" t="str">
            <v>LISSACTwinsetOptique</v>
          </cell>
          <cell r="F145">
            <v>0</v>
          </cell>
          <cell r="G145">
            <v>0</v>
          </cell>
          <cell r="H145">
            <v>0</v>
          </cell>
          <cell r="I145"/>
        </row>
        <row r="146">
          <cell r="A146" t="str">
            <v>LISSAC</v>
          </cell>
          <cell r="B146"/>
          <cell r="E146" t="str">
            <v>LISSACTwinsetSolaire</v>
          </cell>
          <cell r="F146">
            <v>0</v>
          </cell>
          <cell r="G146">
            <v>0</v>
          </cell>
          <cell r="H146">
            <v>0</v>
          </cell>
          <cell r="I146"/>
        </row>
        <row r="147">
          <cell r="A147" t="str">
            <v>LISSAC</v>
          </cell>
          <cell r="B147"/>
          <cell r="E147" t="str">
            <v>LISSACTwinset PremiumOptique</v>
          </cell>
          <cell r="F147">
            <v>0</v>
          </cell>
          <cell r="G147">
            <v>0</v>
          </cell>
          <cell r="H147">
            <v>0</v>
          </cell>
          <cell r="I147"/>
        </row>
        <row r="148">
          <cell r="A148" t="str">
            <v>LISSAC</v>
          </cell>
          <cell r="B148"/>
          <cell r="E148" t="str">
            <v>LISSACTwinset PremiumSolaire</v>
          </cell>
          <cell r="F148">
            <v>0</v>
          </cell>
          <cell r="G148">
            <v>0</v>
          </cell>
          <cell r="H148">
            <v>0</v>
          </cell>
          <cell r="I148"/>
        </row>
        <row r="149">
          <cell r="A149" t="str">
            <v>OPTIC 2OOO</v>
          </cell>
          <cell r="B149"/>
          <cell r="E149" t="str">
            <v>OPTIC 2OOOMaison LéoOptique</v>
          </cell>
          <cell r="F149">
            <v>0</v>
          </cell>
          <cell r="G149">
            <v>0</v>
          </cell>
          <cell r="H149">
            <v>0</v>
          </cell>
          <cell r="I149"/>
        </row>
        <row r="150">
          <cell r="A150" t="str">
            <v>OPTIC 2OOO</v>
          </cell>
          <cell r="B150"/>
          <cell r="E150" t="str">
            <v>OPTIC 2OOOMaison LéoSolaire</v>
          </cell>
          <cell r="F150">
            <v>0</v>
          </cell>
          <cell r="G150">
            <v>0</v>
          </cell>
          <cell r="H150">
            <v>0</v>
          </cell>
          <cell r="I150"/>
        </row>
        <row r="151">
          <cell r="A151" t="str">
            <v>OPTIC 2OOO</v>
          </cell>
          <cell r="B151"/>
          <cell r="E151" t="str">
            <v>OPTIC 2OOORay banSolaire</v>
          </cell>
          <cell r="F151">
            <v>0</v>
          </cell>
          <cell r="G151">
            <v>0</v>
          </cell>
          <cell r="H151">
            <v>0</v>
          </cell>
          <cell r="I151"/>
        </row>
        <row r="152">
          <cell r="A152" t="str">
            <v>KERING</v>
          </cell>
          <cell r="B152" t="str">
            <v>R01554</v>
          </cell>
          <cell r="E152" t="str">
            <v>KERINGChloéOptique</v>
          </cell>
          <cell r="F152">
            <v>0.04</v>
          </cell>
          <cell r="G152">
            <v>0</v>
          </cell>
          <cell r="H152">
            <v>0.04</v>
          </cell>
          <cell r="I152" t="str">
            <v>Oui</v>
          </cell>
        </row>
        <row r="153">
          <cell r="A153" t="str">
            <v>KERING</v>
          </cell>
          <cell r="B153" t="str">
            <v>R01554</v>
          </cell>
          <cell r="E153" t="str">
            <v>KERINGChloéSolaire</v>
          </cell>
          <cell r="F153">
            <v>0.04</v>
          </cell>
          <cell r="G153">
            <v>0</v>
          </cell>
          <cell r="H153">
            <v>0.04</v>
          </cell>
          <cell r="I153"/>
        </row>
        <row r="154">
          <cell r="A154" t="str">
            <v>KERING</v>
          </cell>
          <cell r="B154" t="str">
            <v>R01554</v>
          </cell>
          <cell r="E154" t="str">
            <v>KERINGPumaOptique</v>
          </cell>
          <cell r="F154">
            <v>0.1</v>
          </cell>
          <cell r="G154">
            <v>0</v>
          </cell>
          <cell r="H154">
            <v>0.2</v>
          </cell>
          <cell r="I154" t="str">
            <v>Oui</v>
          </cell>
        </row>
        <row r="155">
          <cell r="A155" t="str">
            <v>KERING</v>
          </cell>
          <cell r="B155" t="str">
            <v>R01554</v>
          </cell>
          <cell r="E155" t="str">
            <v>KERINGPumaSolaire</v>
          </cell>
          <cell r="F155">
            <v>0.1</v>
          </cell>
          <cell r="G155">
            <v>0</v>
          </cell>
          <cell r="H155">
            <v>0.2</v>
          </cell>
          <cell r="I155"/>
        </row>
        <row r="156">
          <cell r="A156" t="str">
            <v>KERING</v>
          </cell>
          <cell r="B156" t="str">
            <v>R01554</v>
          </cell>
          <cell r="E156" t="str">
            <v>KERINGSaint LaurentOptique</v>
          </cell>
          <cell r="F156">
            <v>0.04</v>
          </cell>
          <cell r="G156">
            <v>0</v>
          </cell>
          <cell r="H156">
            <v>0.04</v>
          </cell>
          <cell r="I156" t="str">
            <v>Oui</v>
          </cell>
        </row>
        <row r="157">
          <cell r="A157" t="str">
            <v>KERING</v>
          </cell>
          <cell r="B157" t="str">
            <v>R01554</v>
          </cell>
          <cell r="E157" t="str">
            <v>KERINGSaint LaurentSolaire</v>
          </cell>
          <cell r="F157">
            <v>0.04</v>
          </cell>
          <cell r="G157">
            <v>0</v>
          </cell>
          <cell r="H157">
            <v>0.04</v>
          </cell>
          <cell r="I157"/>
        </row>
        <row r="158">
          <cell r="A158" t="str">
            <v>OPTIC 2OOO</v>
          </cell>
          <cell r="B158"/>
          <cell r="E158" t="str">
            <v>OPTIC 2OOOJulbo PARIS 2024Solaire</v>
          </cell>
          <cell r="F158">
            <v>0</v>
          </cell>
          <cell r="G158">
            <v>0</v>
          </cell>
          <cell r="H158">
            <v>0</v>
          </cell>
          <cell r="I158"/>
        </row>
        <row r="159">
          <cell r="A159" t="str">
            <v>OPTIC 2OOO</v>
          </cell>
          <cell r="B159"/>
          <cell r="E159" t="str">
            <v>OPTIC 2OOOJulbo Equipe de FranceSolaire</v>
          </cell>
          <cell r="F159">
            <v>0</v>
          </cell>
          <cell r="G159">
            <v>0</v>
          </cell>
          <cell r="H159">
            <v>0</v>
          </cell>
          <cell r="I159"/>
        </row>
        <row r="160">
          <cell r="A160" t="str">
            <v>FRENCH RETRO</v>
          </cell>
          <cell r="B160" t="str">
            <v>R01785</v>
          </cell>
          <cell r="E160" t="str">
            <v>FRENCH RETROFRENCH RETROOptique</v>
          </cell>
          <cell r="F160">
            <v>0</v>
          </cell>
          <cell r="G160">
            <v>0</v>
          </cell>
          <cell r="H160">
            <v>0.3</v>
          </cell>
          <cell r="I160" t="str">
            <v>Oui sur les montures de moins de 6 mois</v>
          </cell>
        </row>
        <row r="161">
          <cell r="A161" t="str">
            <v>FRENCH RETRO</v>
          </cell>
          <cell r="B161" t="str">
            <v>R01785</v>
          </cell>
          <cell r="E161" t="str">
            <v>FRENCH RETROFRENCH RETROSolaire</v>
          </cell>
          <cell r="F161">
            <v>0</v>
          </cell>
          <cell r="G161">
            <v>0</v>
          </cell>
          <cell r="H161">
            <v>0.3</v>
          </cell>
          <cell r="I161"/>
        </row>
        <row r="162">
          <cell r="A162" t="str">
            <v>FRENCH RETRO</v>
          </cell>
          <cell r="B162" t="str">
            <v>R01785</v>
          </cell>
          <cell r="E162" t="str">
            <v>FRENCH RETROREZINOptique</v>
          </cell>
          <cell r="F162">
            <v>0</v>
          </cell>
          <cell r="G162">
            <v>0</v>
          </cell>
          <cell r="H162">
            <v>0.3</v>
          </cell>
          <cell r="I162"/>
        </row>
        <row r="163">
          <cell r="A163" t="str">
            <v>FRENCH RETRO</v>
          </cell>
          <cell r="B163" t="str">
            <v>R01785</v>
          </cell>
          <cell r="E163" t="str">
            <v>FRENCH RETROREZINSolaire</v>
          </cell>
          <cell r="F163">
            <v>0</v>
          </cell>
          <cell r="G163">
            <v>0</v>
          </cell>
          <cell r="H163">
            <v>0.3</v>
          </cell>
          <cell r="I163"/>
        </row>
        <row r="164">
          <cell r="A164" t="str">
            <v>LISSAC</v>
          </cell>
          <cell r="B164"/>
          <cell r="E164" t="str">
            <v>LISSACLousticsOptique</v>
          </cell>
          <cell r="F164">
            <v>0</v>
          </cell>
          <cell r="G164">
            <v>0</v>
          </cell>
          <cell r="H164">
            <v>0</v>
          </cell>
          <cell r="I164"/>
        </row>
        <row r="165">
          <cell r="A165" t="str">
            <v>LISSAC</v>
          </cell>
          <cell r="B165"/>
          <cell r="E165" t="str">
            <v>LISSACUn Degré CinqOptique</v>
          </cell>
          <cell r="F165">
            <v>0</v>
          </cell>
          <cell r="G165">
            <v>0</v>
          </cell>
          <cell r="H165">
            <v>0</v>
          </cell>
          <cell r="I165"/>
        </row>
        <row r="166">
          <cell r="A166" t="str">
            <v>OPTIC 2OOO</v>
          </cell>
          <cell r="B166"/>
          <cell r="E166" t="str">
            <v>OPTIC 2OOOChampionOptique</v>
          </cell>
          <cell r="F166">
            <v>0</v>
          </cell>
          <cell r="G166">
            <v>0</v>
          </cell>
          <cell r="H166">
            <v>0</v>
          </cell>
          <cell r="I166"/>
        </row>
        <row r="167">
          <cell r="A167" t="str">
            <v>OPTIC 2OOO</v>
          </cell>
          <cell r="B167"/>
          <cell r="E167" t="str">
            <v>OPTIC 2OOOChampionSolaire</v>
          </cell>
          <cell r="F167">
            <v>0</v>
          </cell>
          <cell r="G167">
            <v>0</v>
          </cell>
          <cell r="H167">
            <v>0</v>
          </cell>
          <cell r="I167"/>
        </row>
      </sheetData>
      <sheetData sheetId="2">
        <row r="5">
          <cell r="B5" t="str">
            <v>GM0010     Mont.Opt.Mé.Cerclée</v>
          </cell>
          <cell r="C5" t="str">
            <v>Optique</v>
          </cell>
          <cell r="D5" t="str">
            <v>90031930 Monture Opt Métal</v>
          </cell>
        </row>
        <row r="6">
          <cell r="B6" t="str">
            <v>GM0020     Mont.Opt.Me.Fils</v>
          </cell>
          <cell r="C6" t="str">
            <v>Optique</v>
          </cell>
          <cell r="D6" t="str">
            <v>90031930 Monture Opt Métal</v>
          </cell>
        </row>
        <row r="7">
          <cell r="B7" t="str">
            <v>GM0030     Mont.Opt.Mé.Percées</v>
          </cell>
          <cell r="C7" t="str">
            <v>Optique</v>
          </cell>
          <cell r="D7" t="str">
            <v>90031930 Monture Opt Métal</v>
          </cell>
        </row>
        <row r="8">
          <cell r="B8" t="str">
            <v>GM0040     Mont.Opt.Pl.Cerclées</v>
          </cell>
          <cell r="C8" t="str">
            <v>Optique</v>
          </cell>
          <cell r="D8" t="str">
            <v>90031100 Monture Opt Plast</v>
          </cell>
        </row>
        <row r="9">
          <cell r="B9" t="str">
            <v>GM0050     Mont.Opt.Pl.Fils</v>
          </cell>
          <cell r="C9" t="str">
            <v>Optique</v>
          </cell>
          <cell r="D9" t="str">
            <v>90031100 Monture Opt Plast</v>
          </cell>
        </row>
        <row r="10">
          <cell r="B10" t="str">
            <v>GM0060     Mont.Opt.Pl.Percées</v>
          </cell>
          <cell r="C10" t="str">
            <v>Optique</v>
          </cell>
          <cell r="D10" t="str">
            <v>90031100 Monture Opt Plast</v>
          </cell>
        </row>
        <row r="11">
          <cell r="B11" t="str">
            <v>GM0070     Mont.Opt.Ti.Cerclées</v>
          </cell>
          <cell r="C11" t="str">
            <v>Optique</v>
          </cell>
          <cell r="D11" t="str">
            <v>90031930 Monture Opt Métal</v>
          </cell>
        </row>
        <row r="12">
          <cell r="B12" t="str">
            <v>GM0080     Mont.Opt.Ti.Fils</v>
          </cell>
          <cell r="C12" t="str">
            <v>Optique</v>
          </cell>
          <cell r="D12" t="str">
            <v>90031930 Monture Opt Métal</v>
          </cell>
        </row>
        <row r="13">
          <cell r="B13" t="str">
            <v>GM0090     Mont.Opt.Ti.Percées</v>
          </cell>
          <cell r="C13" t="str">
            <v>Optique</v>
          </cell>
          <cell r="D13" t="str">
            <v>90031930 Monture Opt Métal</v>
          </cell>
        </row>
        <row r="14">
          <cell r="B14" t="str">
            <v>GM0100     Mont.Sol.Mé.Cerclées</v>
          </cell>
          <cell r="C14" t="str">
            <v>Solaire</v>
          </cell>
          <cell r="D14" t="str">
            <v>90041099 Monture Sol Métal</v>
          </cell>
        </row>
        <row r="15">
          <cell r="B15" t="str">
            <v>GM0110     Mont.Sol.Mé.Fils</v>
          </cell>
          <cell r="C15" t="str">
            <v>Solaire</v>
          </cell>
          <cell r="D15" t="str">
            <v>90041099 Monture Sol Métal</v>
          </cell>
        </row>
        <row r="16">
          <cell r="B16" t="str">
            <v>GM0120     Mont.Sol.Mé.Percées</v>
          </cell>
          <cell r="C16" t="str">
            <v>Solaire</v>
          </cell>
          <cell r="D16" t="str">
            <v>90041099 Monture Sol Métal</v>
          </cell>
        </row>
        <row r="17">
          <cell r="B17" t="str">
            <v>GM0130     Mont Sol Pl.Cerclées</v>
          </cell>
          <cell r="C17" t="str">
            <v>Solaire</v>
          </cell>
          <cell r="D17" t="str">
            <v>90041091 Monture Sol Plast</v>
          </cell>
        </row>
        <row r="18">
          <cell r="B18" t="str">
            <v>GM0140     Mont.Sol.Pl.Fils</v>
          </cell>
          <cell r="C18" t="str">
            <v>Solaire</v>
          </cell>
          <cell r="D18" t="str">
            <v>90041091 Monture Sol Plast</v>
          </cell>
        </row>
        <row r="19">
          <cell r="B19" t="str">
            <v>GM0150     Mont.Sol.Pl.Percées</v>
          </cell>
          <cell r="C19" t="str">
            <v>Solaire</v>
          </cell>
          <cell r="D19" t="str">
            <v>90041091 Monture Sol Plast</v>
          </cell>
        </row>
        <row r="20">
          <cell r="B20" t="str">
            <v>GM0160     Mont.Sol.Ti.Cerclées</v>
          </cell>
          <cell r="C20" t="str">
            <v>Solaire</v>
          </cell>
          <cell r="D20" t="str">
            <v>90041099 Monture Sol Métal</v>
          </cell>
        </row>
        <row r="21">
          <cell r="B21" t="str">
            <v>GM0170     Mont.Sol.Ti.Fils</v>
          </cell>
          <cell r="C21" t="str">
            <v>Solaire</v>
          </cell>
          <cell r="D21" t="str">
            <v>90041099 Monture Sol Métal</v>
          </cell>
        </row>
        <row r="22">
          <cell r="B22" t="str">
            <v>GM0180     Mont.Sol.Ti.Percées</v>
          </cell>
          <cell r="C22" t="str">
            <v>Solaire</v>
          </cell>
          <cell r="D22" t="str">
            <v>90041099 Monture Sol Métal</v>
          </cell>
        </row>
        <row r="25">
          <cell r="B25" t="str">
            <v>PFL0010 : Homme</v>
          </cell>
          <cell r="C25" t="str">
            <v>Homme</v>
          </cell>
        </row>
        <row r="26">
          <cell r="B26" t="str">
            <v>PFL0020 : Femme</v>
          </cell>
          <cell r="C26" t="str">
            <v>Femme</v>
          </cell>
        </row>
        <row r="27">
          <cell r="B27" t="str">
            <v>PFL0030 : Mixte</v>
          </cell>
          <cell r="C27" t="str">
            <v>Mixte</v>
          </cell>
        </row>
        <row r="28">
          <cell r="B28" t="str">
            <v>PFL0040 : Junior</v>
          </cell>
          <cell r="C28" t="str">
            <v>Enfants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B055-18A8-492D-9FFB-36ECAB9AD8D5}">
  <sheetPr>
    <tabColor rgb="FFFFFF99"/>
    <pageSetUpPr fitToPage="1"/>
  </sheetPr>
  <dimension ref="A1:F81"/>
  <sheetViews>
    <sheetView workbookViewId="0"/>
  </sheetViews>
  <sheetFormatPr baseColWidth="10" defaultRowHeight="15" x14ac:dyDescent="0.25"/>
  <cols>
    <col min="1" max="1" width="31.5703125" customWidth="1"/>
    <col min="2" max="2" width="81.42578125" bestFit="1" customWidth="1"/>
    <col min="6" max="6" width="40.7109375" customWidth="1"/>
  </cols>
  <sheetData>
    <row r="1" spans="1:6" ht="23.25" x14ac:dyDescent="0.25">
      <c r="A1" s="20" t="s">
        <v>755</v>
      </c>
      <c r="B1" s="12"/>
      <c r="C1" s="11"/>
      <c r="D1" s="12" t="s">
        <v>77</v>
      </c>
    </row>
    <row r="3" spans="1:6" ht="15.75" x14ac:dyDescent="0.25">
      <c r="A3" s="161" t="s">
        <v>262</v>
      </c>
      <c r="B3" s="161"/>
      <c r="C3" s="161"/>
      <c r="D3" s="161"/>
      <c r="E3" s="161"/>
      <c r="F3" s="161"/>
    </row>
    <row r="5" spans="1:6" s="4" customFormat="1" ht="39.950000000000003" customHeight="1" x14ac:dyDescent="0.25">
      <c r="A5" s="9" t="s">
        <v>63</v>
      </c>
      <c r="B5" s="9" t="s">
        <v>260</v>
      </c>
      <c r="C5" s="10" t="s">
        <v>79</v>
      </c>
      <c r="D5" s="15" t="s">
        <v>81</v>
      </c>
      <c r="E5" s="10" t="s">
        <v>78</v>
      </c>
      <c r="F5" s="21" t="s">
        <v>92</v>
      </c>
    </row>
    <row r="6" spans="1:6" ht="30" x14ac:dyDescent="0.25">
      <c r="A6" s="8" t="s">
        <v>0</v>
      </c>
      <c r="B6" s="17" t="s">
        <v>85</v>
      </c>
      <c r="C6" s="13" t="s">
        <v>80</v>
      </c>
      <c r="D6" s="13" t="s">
        <v>80</v>
      </c>
      <c r="E6" s="16" t="s">
        <v>82</v>
      </c>
      <c r="F6" s="22" t="s">
        <v>59</v>
      </c>
    </row>
    <row r="7" spans="1:6" x14ac:dyDescent="0.25">
      <c r="A7" s="1" t="s">
        <v>1</v>
      </c>
      <c r="B7" s="5" t="s">
        <v>58</v>
      </c>
      <c r="C7" s="16" t="s">
        <v>82</v>
      </c>
      <c r="D7" s="16" t="s">
        <v>82</v>
      </c>
      <c r="E7" s="16" t="s">
        <v>82</v>
      </c>
      <c r="F7" s="23" t="s">
        <v>64</v>
      </c>
    </row>
    <row r="8" spans="1:6" x14ac:dyDescent="0.25">
      <c r="A8" s="1" t="s">
        <v>2</v>
      </c>
      <c r="B8" s="5" t="s">
        <v>59</v>
      </c>
      <c r="C8" s="16" t="s">
        <v>82</v>
      </c>
      <c r="D8" s="16" t="s">
        <v>82</v>
      </c>
      <c r="E8" s="16" t="s">
        <v>82</v>
      </c>
      <c r="F8" s="22" t="s">
        <v>59</v>
      </c>
    </row>
    <row r="9" spans="1:6" x14ac:dyDescent="0.25">
      <c r="A9" s="1" t="s">
        <v>3</v>
      </c>
      <c r="B9" s="5" t="s">
        <v>64</v>
      </c>
      <c r="C9" s="16" t="s">
        <v>82</v>
      </c>
      <c r="D9" s="16" t="s">
        <v>82</v>
      </c>
      <c r="E9" s="16" t="s">
        <v>82</v>
      </c>
      <c r="F9" s="23" t="s">
        <v>64</v>
      </c>
    </row>
    <row r="10" spans="1:6" ht="30" x14ac:dyDescent="0.25">
      <c r="A10" s="2" t="s">
        <v>4</v>
      </c>
      <c r="B10" s="5" t="s">
        <v>62</v>
      </c>
      <c r="C10" s="16" t="s">
        <v>82</v>
      </c>
      <c r="D10" s="13" t="s">
        <v>80</v>
      </c>
      <c r="E10" s="16" t="s">
        <v>82</v>
      </c>
      <c r="F10" s="24" t="s">
        <v>150</v>
      </c>
    </row>
    <row r="11" spans="1:6" x14ac:dyDescent="0.25">
      <c r="A11" s="2" t="s">
        <v>282</v>
      </c>
      <c r="B11" s="6"/>
      <c r="C11" s="18"/>
      <c r="D11" s="14"/>
      <c r="E11" s="18"/>
      <c r="F11" s="145"/>
    </row>
    <row r="12" spans="1:6" x14ac:dyDescent="0.25">
      <c r="A12" s="2" t="s">
        <v>283</v>
      </c>
      <c r="B12" s="6"/>
      <c r="C12" s="18"/>
      <c r="D12" s="14"/>
      <c r="E12" s="18"/>
      <c r="F12" s="145"/>
    </row>
    <row r="13" spans="1:6" x14ac:dyDescent="0.25">
      <c r="A13" s="2" t="s">
        <v>284</v>
      </c>
      <c r="B13" s="6"/>
      <c r="C13" s="18"/>
      <c r="D13" s="14"/>
      <c r="E13" s="18"/>
      <c r="F13" s="145"/>
    </row>
    <row r="14" spans="1:6" ht="60" x14ac:dyDescent="0.25">
      <c r="A14" s="1" t="s">
        <v>5</v>
      </c>
      <c r="B14" s="5" t="s">
        <v>752</v>
      </c>
      <c r="C14" s="16" t="s">
        <v>82</v>
      </c>
      <c r="D14" s="16" t="s">
        <v>82</v>
      </c>
      <c r="E14" s="16" t="s">
        <v>82</v>
      </c>
      <c r="F14" s="24" t="s">
        <v>153</v>
      </c>
    </row>
    <row r="15" spans="1:6" ht="30" x14ac:dyDescent="0.25">
      <c r="A15" s="1" t="s">
        <v>6</v>
      </c>
      <c r="B15" s="5" t="s">
        <v>61</v>
      </c>
      <c r="C15" s="16" t="s">
        <v>82</v>
      </c>
      <c r="D15" s="13" t="s">
        <v>80</v>
      </c>
      <c r="E15" s="16" t="s">
        <v>82</v>
      </c>
      <c r="F15" s="24" t="s">
        <v>151</v>
      </c>
    </row>
    <row r="16" spans="1:6" ht="30" x14ac:dyDescent="0.25">
      <c r="A16" s="1" t="s">
        <v>7</v>
      </c>
      <c r="B16" s="5" t="s">
        <v>67</v>
      </c>
      <c r="C16" s="16" t="s">
        <v>82</v>
      </c>
      <c r="D16" s="13" t="s">
        <v>80</v>
      </c>
      <c r="E16" s="16" t="s">
        <v>82</v>
      </c>
      <c r="F16" s="24" t="s">
        <v>152</v>
      </c>
    </row>
    <row r="17" spans="1:6" ht="30" x14ac:dyDescent="0.25">
      <c r="A17" s="1" t="s">
        <v>8</v>
      </c>
      <c r="B17" s="5" t="s">
        <v>61</v>
      </c>
      <c r="C17" s="16" t="s">
        <v>82</v>
      </c>
      <c r="D17" s="13" t="s">
        <v>80</v>
      </c>
      <c r="E17" s="16" t="s">
        <v>82</v>
      </c>
      <c r="F17" s="24" t="s">
        <v>151</v>
      </c>
    </row>
    <row r="18" spans="1:6" ht="30" x14ac:dyDescent="0.25">
      <c r="A18" s="1" t="s">
        <v>9</v>
      </c>
      <c r="B18" s="5" t="s">
        <v>61</v>
      </c>
      <c r="C18" s="16" t="s">
        <v>82</v>
      </c>
      <c r="D18" s="13" t="s">
        <v>80</v>
      </c>
      <c r="E18" s="16" t="s">
        <v>82</v>
      </c>
      <c r="F18" s="24" t="s">
        <v>151</v>
      </c>
    </row>
    <row r="19" spans="1:6" x14ac:dyDescent="0.25">
      <c r="A19" s="1" t="s">
        <v>285</v>
      </c>
      <c r="B19" s="6"/>
      <c r="C19" s="14"/>
      <c r="D19" s="14"/>
      <c r="E19" s="14"/>
      <c r="F19" s="6"/>
    </row>
    <row r="20" spans="1:6" x14ac:dyDescent="0.25">
      <c r="A20" s="1" t="s">
        <v>286</v>
      </c>
      <c r="B20" s="6"/>
      <c r="C20" s="14"/>
      <c r="D20" s="14"/>
      <c r="E20" s="14"/>
      <c r="F20" s="6"/>
    </row>
    <row r="21" spans="1:6" ht="71.25" x14ac:dyDescent="0.25">
      <c r="A21" s="1" t="s">
        <v>38</v>
      </c>
      <c r="B21" s="7" t="s">
        <v>70</v>
      </c>
      <c r="C21" s="16" t="s">
        <v>82</v>
      </c>
      <c r="D21" s="13" t="s">
        <v>80</v>
      </c>
      <c r="E21" s="16" t="s">
        <v>82</v>
      </c>
      <c r="F21" s="24" t="s">
        <v>145</v>
      </c>
    </row>
    <row r="22" spans="1:6" ht="48.75" x14ac:dyDescent="0.25">
      <c r="A22" s="1" t="s">
        <v>39</v>
      </c>
      <c r="B22" s="7" t="s">
        <v>70</v>
      </c>
      <c r="C22" s="16" t="s">
        <v>82</v>
      </c>
      <c r="D22" s="13" t="s">
        <v>80</v>
      </c>
      <c r="E22" s="16" t="s">
        <v>82</v>
      </c>
      <c r="F22" s="24" t="s">
        <v>146</v>
      </c>
    </row>
    <row r="23" spans="1:6" x14ac:dyDescent="0.25">
      <c r="A23" s="174" t="s">
        <v>753</v>
      </c>
      <c r="B23" s="6"/>
      <c r="C23" s="14"/>
      <c r="D23" s="14"/>
      <c r="E23" s="14"/>
      <c r="F23" s="6"/>
    </row>
    <row r="24" spans="1:6" ht="30" x14ac:dyDescent="0.25">
      <c r="A24" s="1" t="s">
        <v>10</v>
      </c>
      <c r="B24" s="5" t="s">
        <v>66</v>
      </c>
      <c r="C24" s="16" t="s">
        <v>82</v>
      </c>
      <c r="D24" s="13" t="s">
        <v>80</v>
      </c>
      <c r="E24" s="16" t="s">
        <v>82</v>
      </c>
      <c r="F24" s="24" t="s">
        <v>147</v>
      </c>
    </row>
    <row r="25" spans="1:6" ht="30" x14ac:dyDescent="0.25">
      <c r="A25" s="1" t="s">
        <v>11</v>
      </c>
      <c r="B25" s="5" t="s">
        <v>68</v>
      </c>
      <c r="C25" s="16" t="s">
        <v>82</v>
      </c>
      <c r="D25" s="13" t="s">
        <v>80</v>
      </c>
      <c r="E25" s="16" t="s">
        <v>82</v>
      </c>
      <c r="F25" s="24" t="s">
        <v>148</v>
      </c>
    </row>
    <row r="26" spans="1:6" ht="30" x14ac:dyDescent="0.25">
      <c r="A26" s="1" t="s">
        <v>12</v>
      </c>
      <c r="B26" s="5" t="s">
        <v>69</v>
      </c>
      <c r="C26" s="16" t="s">
        <v>82</v>
      </c>
      <c r="D26" s="13" t="s">
        <v>80</v>
      </c>
      <c r="E26" s="16" t="s">
        <v>82</v>
      </c>
      <c r="F26" s="24" t="s">
        <v>149</v>
      </c>
    </row>
    <row r="27" spans="1:6" ht="37.5" x14ac:dyDescent="0.25">
      <c r="A27" s="3" t="s">
        <v>40</v>
      </c>
      <c r="B27" s="5">
        <v>0</v>
      </c>
      <c r="C27" s="16" t="s">
        <v>82</v>
      </c>
      <c r="D27" s="16" t="s">
        <v>82</v>
      </c>
      <c r="E27" s="16" t="s">
        <v>82</v>
      </c>
      <c r="F27" s="22">
        <v>0</v>
      </c>
    </row>
    <row r="28" spans="1:6" ht="45" x14ac:dyDescent="0.25">
      <c r="A28" s="1" t="s">
        <v>41</v>
      </c>
      <c r="B28" s="7" t="s">
        <v>83</v>
      </c>
      <c r="C28" s="13" t="s">
        <v>80</v>
      </c>
      <c r="D28" s="16" t="s">
        <v>80</v>
      </c>
      <c r="E28" s="16" t="s">
        <v>82</v>
      </c>
      <c r="F28" s="24" t="s">
        <v>144</v>
      </c>
    </row>
    <row r="29" spans="1:6" ht="26.25" x14ac:dyDescent="0.25">
      <c r="A29" s="1" t="s">
        <v>42</v>
      </c>
      <c r="B29" s="6"/>
      <c r="C29" s="14"/>
      <c r="D29" s="14"/>
      <c r="E29" s="14"/>
      <c r="F29" s="6"/>
    </row>
    <row r="30" spans="1:6" ht="45" x14ac:dyDescent="0.25">
      <c r="A30" s="1" t="s">
        <v>287</v>
      </c>
      <c r="B30" s="7" t="s">
        <v>290</v>
      </c>
      <c r="C30" s="13" t="s">
        <v>80</v>
      </c>
      <c r="D30" s="16" t="s">
        <v>80</v>
      </c>
      <c r="E30" s="16" t="s">
        <v>82</v>
      </c>
      <c r="F30" s="24" t="s">
        <v>133</v>
      </c>
    </row>
    <row r="31" spans="1:6" ht="45" x14ac:dyDescent="0.25">
      <c r="A31" s="1" t="s">
        <v>288</v>
      </c>
      <c r="B31" s="7" t="s">
        <v>289</v>
      </c>
      <c r="C31" s="13" t="s">
        <v>80</v>
      </c>
      <c r="D31" s="16" t="s">
        <v>80</v>
      </c>
      <c r="E31" s="16" t="s">
        <v>82</v>
      </c>
      <c r="F31" s="24" t="s">
        <v>133</v>
      </c>
    </row>
    <row r="32" spans="1:6" ht="37.5" x14ac:dyDescent="0.25">
      <c r="A32" s="3" t="s">
        <v>43</v>
      </c>
      <c r="B32" s="6"/>
      <c r="C32" s="14"/>
      <c r="D32" s="14"/>
      <c r="E32" s="14"/>
      <c r="F32" s="6"/>
    </row>
    <row r="33" spans="1:6" ht="180" x14ac:dyDescent="0.25">
      <c r="A33" s="3" t="s">
        <v>291</v>
      </c>
      <c r="B33" s="6"/>
      <c r="C33" s="14"/>
      <c r="D33" s="14"/>
      <c r="E33" s="14"/>
      <c r="F33" s="6"/>
    </row>
    <row r="34" spans="1:6" ht="30" x14ac:dyDescent="0.25">
      <c r="A34" s="1" t="s">
        <v>13</v>
      </c>
      <c r="B34" s="5" t="s">
        <v>69</v>
      </c>
      <c r="C34" s="16" t="s">
        <v>82</v>
      </c>
      <c r="D34" s="13" t="s">
        <v>80</v>
      </c>
      <c r="E34" s="16" t="s">
        <v>82</v>
      </c>
      <c r="F34" s="24" t="s">
        <v>149</v>
      </c>
    </row>
    <row r="35" spans="1:6" x14ac:dyDescent="0.25">
      <c r="A35" s="1" t="s">
        <v>14</v>
      </c>
      <c r="B35" s="6"/>
      <c r="C35" s="14"/>
      <c r="D35" s="14"/>
      <c r="E35" s="14"/>
      <c r="F35" s="6"/>
    </row>
    <row r="36" spans="1:6" x14ac:dyDescent="0.25">
      <c r="A36" s="1" t="s">
        <v>15</v>
      </c>
      <c r="B36" s="6"/>
      <c r="C36" s="14"/>
      <c r="D36" s="14"/>
      <c r="E36" s="14"/>
      <c r="F36" s="6"/>
    </row>
    <row r="37" spans="1:6" x14ac:dyDescent="0.25">
      <c r="A37" s="1" t="s">
        <v>16</v>
      </c>
      <c r="B37" s="6"/>
      <c r="C37" s="14"/>
      <c r="D37" s="14"/>
      <c r="E37" s="14"/>
      <c r="F37" s="6"/>
    </row>
    <row r="38" spans="1:6" x14ac:dyDescent="0.25">
      <c r="A38" s="1" t="s">
        <v>17</v>
      </c>
      <c r="B38" s="6"/>
      <c r="C38" s="14"/>
      <c r="D38" s="14"/>
      <c r="E38" s="14"/>
      <c r="F38" s="6"/>
    </row>
    <row r="39" spans="1:6" ht="30" x14ac:dyDescent="0.25">
      <c r="A39" s="1" t="s">
        <v>18</v>
      </c>
      <c r="B39" s="6"/>
      <c r="C39" s="14"/>
      <c r="D39" s="14"/>
      <c r="E39" s="14"/>
      <c r="F39" s="6"/>
    </row>
    <row r="40" spans="1:6" ht="52.5" x14ac:dyDescent="0.25">
      <c r="A40" s="1" t="s">
        <v>44</v>
      </c>
      <c r="B40" s="5">
        <v>1</v>
      </c>
      <c r="C40" s="16" t="s">
        <v>82</v>
      </c>
      <c r="D40" s="16" t="s">
        <v>82</v>
      </c>
      <c r="E40" s="16" t="s">
        <v>82</v>
      </c>
      <c r="F40" s="22">
        <v>1</v>
      </c>
    </row>
    <row r="41" spans="1:6" x14ac:dyDescent="0.25">
      <c r="A41" s="174" t="s">
        <v>754</v>
      </c>
      <c r="B41" s="6"/>
      <c r="C41" s="14"/>
      <c r="D41" s="14"/>
      <c r="E41" s="14"/>
      <c r="F41" s="6"/>
    </row>
    <row r="42" spans="1:6" x14ac:dyDescent="0.25">
      <c r="A42" s="1" t="s">
        <v>19</v>
      </c>
      <c r="B42" s="5">
        <v>1</v>
      </c>
      <c r="C42" s="16" t="s">
        <v>82</v>
      </c>
      <c r="D42" s="16" t="s">
        <v>82</v>
      </c>
      <c r="E42" s="16" t="s">
        <v>82</v>
      </c>
      <c r="F42" s="22">
        <v>1</v>
      </c>
    </row>
    <row r="43" spans="1:6" x14ac:dyDescent="0.25">
      <c r="A43" s="1" t="s">
        <v>20</v>
      </c>
      <c r="B43" s="6"/>
      <c r="C43" s="14"/>
      <c r="D43" s="14"/>
      <c r="E43" s="14"/>
      <c r="F43" s="6"/>
    </row>
    <row r="44" spans="1:6" x14ac:dyDescent="0.25">
      <c r="A44" s="1" t="s">
        <v>21</v>
      </c>
      <c r="B44" s="6"/>
      <c r="C44" s="14"/>
      <c r="D44" s="14"/>
      <c r="E44" s="14"/>
      <c r="F44" s="6"/>
    </row>
    <row r="45" spans="1:6" ht="105" x14ac:dyDescent="0.25">
      <c r="A45" s="1" t="s">
        <v>45</v>
      </c>
      <c r="B45" s="7" t="s">
        <v>86</v>
      </c>
      <c r="C45" s="16" t="s">
        <v>82</v>
      </c>
      <c r="D45" s="16" t="s">
        <v>82</v>
      </c>
      <c r="E45" s="13" t="s">
        <v>80</v>
      </c>
      <c r="F45" s="62" t="s">
        <v>158</v>
      </c>
    </row>
    <row r="46" spans="1:6" ht="82.5" x14ac:dyDescent="0.25">
      <c r="A46" s="1" t="s">
        <v>46</v>
      </c>
      <c r="B46" s="19" t="s">
        <v>87</v>
      </c>
      <c r="C46" s="16" t="s">
        <v>82</v>
      </c>
      <c r="D46" s="16" t="s">
        <v>82</v>
      </c>
      <c r="E46" s="13" t="s">
        <v>80</v>
      </c>
      <c r="F46" s="62" t="s">
        <v>158</v>
      </c>
    </row>
    <row r="47" spans="1:6" ht="82.5" x14ac:dyDescent="0.25">
      <c r="A47" s="1" t="s">
        <v>47</v>
      </c>
      <c r="B47" s="7" t="s">
        <v>88</v>
      </c>
      <c r="C47" s="16" t="s">
        <v>82</v>
      </c>
      <c r="D47" s="16" t="s">
        <v>82</v>
      </c>
      <c r="E47" s="13" t="s">
        <v>80</v>
      </c>
      <c r="F47" s="62" t="s">
        <v>158</v>
      </c>
    </row>
    <row r="48" spans="1:6" ht="60" x14ac:dyDescent="0.25">
      <c r="A48" s="1" t="s">
        <v>48</v>
      </c>
      <c r="B48" s="6"/>
      <c r="C48" s="14"/>
      <c r="D48" s="14"/>
      <c r="E48" s="14"/>
      <c r="F48" s="6"/>
    </row>
    <row r="49" spans="1:6" x14ac:dyDescent="0.25">
      <c r="A49" s="1" t="s">
        <v>292</v>
      </c>
      <c r="B49" s="5" t="s">
        <v>293</v>
      </c>
      <c r="C49" s="16" t="s">
        <v>82</v>
      </c>
      <c r="D49" s="16" t="s">
        <v>82</v>
      </c>
      <c r="E49" s="16" t="s">
        <v>82</v>
      </c>
      <c r="F49" s="24"/>
    </row>
    <row r="50" spans="1:6" ht="37.5" x14ac:dyDescent="0.25">
      <c r="A50" s="1" t="s">
        <v>49</v>
      </c>
      <c r="B50" s="5" t="s">
        <v>76</v>
      </c>
      <c r="C50" s="16" t="s">
        <v>82</v>
      </c>
      <c r="D50" s="16" t="s">
        <v>82</v>
      </c>
      <c r="E50" s="16" t="s">
        <v>82</v>
      </c>
      <c r="F50" s="24" t="s">
        <v>157</v>
      </c>
    </row>
    <row r="51" spans="1:6" ht="75" x14ac:dyDescent="0.25">
      <c r="A51" s="1" t="s">
        <v>50</v>
      </c>
      <c r="B51" s="6"/>
      <c r="C51" s="14"/>
      <c r="D51" s="14"/>
      <c r="E51" s="14"/>
      <c r="F51" s="6"/>
    </row>
    <row r="52" spans="1:6" ht="30" x14ac:dyDescent="0.25">
      <c r="A52" s="1" t="s">
        <v>22</v>
      </c>
      <c r="B52" s="7" t="s">
        <v>159</v>
      </c>
      <c r="C52" s="16" t="s">
        <v>82</v>
      </c>
      <c r="D52" s="16" t="s">
        <v>82</v>
      </c>
      <c r="E52" s="13" t="s">
        <v>80</v>
      </c>
      <c r="F52" s="62" t="s">
        <v>263</v>
      </c>
    </row>
    <row r="53" spans="1:6" ht="30" x14ac:dyDescent="0.25">
      <c r="A53" s="1" t="s">
        <v>23</v>
      </c>
      <c r="B53" s="7" t="s">
        <v>160</v>
      </c>
      <c r="C53" s="16" t="s">
        <v>82</v>
      </c>
      <c r="D53" s="16" t="s">
        <v>82</v>
      </c>
      <c r="E53" s="13" t="s">
        <v>80</v>
      </c>
      <c r="F53" s="62" t="s">
        <v>264</v>
      </c>
    </row>
    <row r="54" spans="1:6" ht="30" x14ac:dyDescent="0.25">
      <c r="A54" s="1" t="s">
        <v>24</v>
      </c>
      <c r="B54" s="7" t="s">
        <v>161</v>
      </c>
      <c r="C54" s="16" t="s">
        <v>82</v>
      </c>
      <c r="D54" s="16" t="s">
        <v>82</v>
      </c>
      <c r="E54" s="13" t="s">
        <v>80</v>
      </c>
      <c r="F54" s="62" t="s">
        <v>265</v>
      </c>
    </row>
    <row r="55" spans="1:6" ht="37.5" x14ac:dyDescent="0.25">
      <c r="A55" s="1" t="s">
        <v>51</v>
      </c>
      <c r="B55" s="5">
        <v>1</v>
      </c>
      <c r="C55" s="16" t="s">
        <v>82</v>
      </c>
      <c r="D55" s="16" t="s">
        <v>82</v>
      </c>
      <c r="E55" s="16" t="s">
        <v>82</v>
      </c>
      <c r="F55" s="22">
        <v>1</v>
      </c>
    </row>
    <row r="56" spans="1:6" x14ac:dyDescent="0.25">
      <c r="A56" s="1" t="s">
        <v>26</v>
      </c>
      <c r="B56" s="5" t="s">
        <v>73</v>
      </c>
      <c r="C56" s="16" t="s">
        <v>82</v>
      </c>
      <c r="D56" s="16" t="s">
        <v>82</v>
      </c>
      <c r="E56" s="16" t="s">
        <v>82</v>
      </c>
      <c r="F56" s="61">
        <v>44824</v>
      </c>
    </row>
    <row r="57" spans="1:6" x14ac:dyDescent="0.25">
      <c r="A57" s="1" t="s">
        <v>27</v>
      </c>
      <c r="B57" s="6"/>
      <c r="C57" s="14"/>
      <c r="D57" s="14"/>
      <c r="E57" s="14"/>
      <c r="F57" s="6"/>
    </row>
    <row r="58" spans="1:6" ht="228.75" x14ac:dyDescent="0.25">
      <c r="A58" s="3" t="s">
        <v>52</v>
      </c>
      <c r="B58" s="7" t="s">
        <v>90</v>
      </c>
      <c r="C58" s="16" t="s">
        <v>82</v>
      </c>
      <c r="D58" s="16" t="s">
        <v>82</v>
      </c>
      <c r="E58" s="16" t="s">
        <v>82</v>
      </c>
      <c r="F58" s="24" t="s">
        <v>154</v>
      </c>
    </row>
    <row r="59" spans="1:6" ht="45" x14ac:dyDescent="0.25">
      <c r="A59" s="1" t="s">
        <v>294</v>
      </c>
      <c r="B59" s="7" t="s">
        <v>74</v>
      </c>
      <c r="C59" s="16" t="s">
        <v>82</v>
      </c>
      <c r="D59" s="13" t="s">
        <v>80</v>
      </c>
      <c r="E59" s="16" t="s">
        <v>82</v>
      </c>
      <c r="F59" s="24" t="s">
        <v>162</v>
      </c>
    </row>
    <row r="60" spans="1:6" ht="45" x14ac:dyDescent="0.25">
      <c r="A60" s="3" t="s">
        <v>295</v>
      </c>
      <c r="B60" s="7" t="s">
        <v>75</v>
      </c>
      <c r="C60" s="16" t="s">
        <v>82</v>
      </c>
      <c r="D60" s="13" t="s">
        <v>80</v>
      </c>
      <c r="E60" s="16" t="s">
        <v>82</v>
      </c>
      <c r="F60" s="24" t="s">
        <v>163</v>
      </c>
    </row>
    <row r="61" spans="1:6" x14ac:dyDescent="0.25">
      <c r="A61" s="1" t="s">
        <v>296</v>
      </c>
      <c r="B61" s="146"/>
      <c r="C61" s="18"/>
      <c r="D61" s="14"/>
      <c r="E61" s="18"/>
      <c r="F61" s="145"/>
    </row>
    <row r="62" spans="1:6" x14ac:dyDescent="0.25">
      <c r="A62" s="1" t="s">
        <v>296</v>
      </c>
      <c r="B62" s="146"/>
      <c r="C62" s="18"/>
      <c r="D62" s="14"/>
      <c r="E62" s="18"/>
      <c r="F62" s="145"/>
    </row>
    <row r="63" spans="1:6" x14ac:dyDescent="0.25">
      <c r="A63" s="1" t="s">
        <v>296</v>
      </c>
      <c r="B63" s="146"/>
      <c r="C63" s="18"/>
      <c r="D63" s="14"/>
      <c r="E63" s="18"/>
      <c r="F63" s="145"/>
    </row>
    <row r="64" spans="1:6" x14ac:dyDescent="0.25">
      <c r="A64" s="1" t="s">
        <v>296</v>
      </c>
      <c r="B64" s="146"/>
      <c r="C64" s="18"/>
      <c r="D64" s="14"/>
      <c r="E64" s="18"/>
      <c r="F64" s="145"/>
    </row>
    <row r="65" spans="1:6" ht="45" x14ac:dyDescent="0.25">
      <c r="A65" s="3" t="s">
        <v>53</v>
      </c>
      <c r="B65" s="7" t="s">
        <v>89</v>
      </c>
      <c r="C65" s="16" t="s">
        <v>82</v>
      </c>
      <c r="D65" s="16" t="s">
        <v>82</v>
      </c>
      <c r="E65" s="13" t="s">
        <v>80</v>
      </c>
      <c r="F65" s="62" t="s">
        <v>261</v>
      </c>
    </row>
    <row r="66" spans="1:6" ht="105" x14ac:dyDescent="0.25">
      <c r="A66" s="3" t="s">
        <v>54</v>
      </c>
      <c r="B66" s="7" t="s">
        <v>70</v>
      </c>
      <c r="C66" s="16" t="s">
        <v>82</v>
      </c>
      <c r="D66" s="13" t="s">
        <v>80</v>
      </c>
      <c r="E66" s="16" t="s">
        <v>82</v>
      </c>
      <c r="F66" s="24" t="s">
        <v>155</v>
      </c>
    </row>
    <row r="67" spans="1:6" ht="105" x14ac:dyDescent="0.25">
      <c r="A67" s="3" t="s">
        <v>55</v>
      </c>
      <c r="B67" s="7" t="s">
        <v>84</v>
      </c>
      <c r="C67" s="16" t="s">
        <v>82</v>
      </c>
      <c r="D67" s="13" t="s">
        <v>80</v>
      </c>
      <c r="E67" s="16" t="s">
        <v>82</v>
      </c>
      <c r="F67" s="24" t="s">
        <v>155</v>
      </c>
    </row>
    <row r="68" spans="1:6" ht="60" x14ac:dyDescent="0.25">
      <c r="A68" s="1" t="s">
        <v>56</v>
      </c>
      <c r="B68" s="7" t="s">
        <v>71</v>
      </c>
      <c r="C68" s="16" t="s">
        <v>82</v>
      </c>
      <c r="D68" s="13" t="s">
        <v>80</v>
      </c>
      <c r="E68" s="16" t="s">
        <v>82</v>
      </c>
      <c r="F68" s="24" t="s">
        <v>156</v>
      </c>
    </row>
    <row r="69" spans="1:6" ht="48.75" x14ac:dyDescent="0.25">
      <c r="A69" s="1" t="s">
        <v>57</v>
      </c>
      <c r="B69" s="5" t="s">
        <v>72</v>
      </c>
      <c r="C69" s="16" t="s">
        <v>82</v>
      </c>
      <c r="D69" s="16" t="s">
        <v>82</v>
      </c>
      <c r="E69" s="16" t="s">
        <v>82</v>
      </c>
      <c r="F69" s="22" t="s">
        <v>72</v>
      </c>
    </row>
    <row r="70" spans="1:6" x14ac:dyDescent="0.25">
      <c r="A70" s="1" t="s">
        <v>28</v>
      </c>
      <c r="B70" s="6"/>
      <c r="C70" s="14"/>
      <c r="D70" s="14"/>
      <c r="E70" s="14"/>
      <c r="F70" s="6"/>
    </row>
    <row r="71" spans="1:6" x14ac:dyDescent="0.25">
      <c r="A71" s="1" t="s">
        <v>29</v>
      </c>
      <c r="B71" s="6"/>
      <c r="C71" s="14"/>
      <c r="D71" s="14"/>
      <c r="E71" s="14"/>
      <c r="F71" s="6"/>
    </row>
    <row r="72" spans="1:6" x14ac:dyDescent="0.25">
      <c r="A72" s="1" t="s">
        <v>30</v>
      </c>
      <c r="B72" s="6"/>
      <c r="C72" s="14"/>
      <c r="D72" s="14"/>
      <c r="E72" s="14"/>
      <c r="F72" s="6"/>
    </row>
    <row r="73" spans="1:6" x14ac:dyDescent="0.25">
      <c r="A73" s="1" t="s">
        <v>31</v>
      </c>
      <c r="B73" s="6"/>
      <c r="C73" s="14"/>
      <c r="D73" s="14"/>
      <c r="E73" s="14"/>
      <c r="F73" s="6"/>
    </row>
    <row r="74" spans="1:6" x14ac:dyDescent="0.25">
      <c r="A74" s="1" t="s">
        <v>32</v>
      </c>
      <c r="B74" s="6"/>
      <c r="C74" s="14"/>
      <c r="D74" s="14"/>
      <c r="E74" s="14"/>
      <c r="F74" s="6"/>
    </row>
    <row r="75" spans="1:6" x14ac:dyDescent="0.25">
      <c r="A75" s="1" t="s">
        <v>33</v>
      </c>
      <c r="B75" s="6"/>
      <c r="C75" s="14"/>
      <c r="D75" s="14"/>
      <c r="E75" s="14"/>
      <c r="F75" s="6"/>
    </row>
    <row r="76" spans="1:6" x14ac:dyDescent="0.25">
      <c r="A76" s="1" t="s">
        <v>34</v>
      </c>
      <c r="B76" s="6"/>
      <c r="C76" s="14"/>
      <c r="D76" s="14"/>
      <c r="E76" s="14"/>
      <c r="F76" s="6"/>
    </row>
    <row r="77" spans="1:6" x14ac:dyDescent="0.25">
      <c r="A77" s="1" t="s">
        <v>35</v>
      </c>
      <c r="B77" s="6"/>
      <c r="C77" s="14"/>
      <c r="D77" s="14"/>
      <c r="E77" s="14"/>
      <c r="F77" s="6"/>
    </row>
    <row r="78" spans="1:6" x14ac:dyDescent="0.25">
      <c r="A78" s="1" t="s">
        <v>297</v>
      </c>
      <c r="B78" s="6"/>
      <c r="C78" s="14"/>
      <c r="D78" s="14"/>
      <c r="E78" s="14"/>
      <c r="F78" s="6"/>
    </row>
    <row r="79" spans="1:6" x14ac:dyDescent="0.25">
      <c r="A79" s="1" t="s">
        <v>298</v>
      </c>
      <c r="B79" s="6"/>
      <c r="C79" s="14"/>
      <c r="D79" s="14"/>
      <c r="E79" s="14"/>
      <c r="F79" s="6"/>
    </row>
    <row r="80" spans="1:6" x14ac:dyDescent="0.25">
      <c r="A80" s="1" t="s">
        <v>36</v>
      </c>
      <c r="B80" s="5" t="s">
        <v>73</v>
      </c>
      <c r="C80" s="16" t="s">
        <v>82</v>
      </c>
      <c r="D80" s="16" t="s">
        <v>82</v>
      </c>
      <c r="E80" s="16" t="s">
        <v>82</v>
      </c>
      <c r="F80" s="61">
        <v>44824</v>
      </c>
    </row>
    <row r="81" spans="1:6" x14ac:dyDescent="0.25">
      <c r="A81" s="1" t="s">
        <v>37</v>
      </c>
      <c r="B81" s="5" t="s">
        <v>73</v>
      </c>
      <c r="C81" s="16" t="s">
        <v>82</v>
      </c>
      <c r="D81" s="16" t="s">
        <v>82</v>
      </c>
      <c r="E81" s="16" t="s">
        <v>82</v>
      </c>
      <c r="F81" s="61">
        <v>44824</v>
      </c>
    </row>
  </sheetData>
  <autoFilter ref="A5:F81" xr:uid="{4B3EB055-18A8-492D-9FFB-36ECAB9AD8D5}"/>
  <mergeCells count="1">
    <mergeCell ref="A3:F3"/>
  </mergeCells>
  <pageMargins left="0.19685039370078741" right="0.19685039370078741" top="0.74803149606299213" bottom="0.74803149606299213" header="0.31496062992125984" footer="0.31496062992125984"/>
  <pageSetup paperSize="8" scale="7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A785-14AB-4DD0-AC62-5C8C22945056}">
  <sheetPr>
    <tabColor theme="8" tint="0.59999389629810485"/>
  </sheetPr>
  <dimension ref="A1:G81"/>
  <sheetViews>
    <sheetView tabSelected="1" workbookViewId="0"/>
  </sheetViews>
  <sheetFormatPr baseColWidth="10" defaultRowHeight="15" x14ac:dyDescent="0.25"/>
  <cols>
    <col min="1" max="1" width="31.5703125" customWidth="1"/>
    <col min="2" max="2" width="81.42578125" bestFit="1" customWidth="1"/>
    <col min="6" max="6" width="40.7109375" customWidth="1"/>
  </cols>
  <sheetData>
    <row r="1" spans="1:7" ht="23.25" x14ac:dyDescent="0.25">
      <c r="A1" s="20" t="s">
        <v>755</v>
      </c>
      <c r="B1" s="12"/>
      <c r="C1" s="11"/>
      <c r="D1" s="12" t="s">
        <v>77</v>
      </c>
    </row>
    <row r="3" spans="1:7" ht="15.75" x14ac:dyDescent="0.25">
      <c r="A3" s="161" t="s">
        <v>262</v>
      </c>
      <c r="B3" s="161"/>
      <c r="C3" s="161"/>
      <c r="D3" s="161"/>
      <c r="E3" s="161"/>
      <c r="F3" s="161"/>
      <c r="G3" s="143"/>
    </row>
    <row r="5" spans="1:7" s="4" customFormat="1" ht="39.950000000000003" customHeight="1" x14ac:dyDescent="0.25">
      <c r="A5" s="9" t="s">
        <v>63</v>
      </c>
      <c r="B5" s="9" t="s">
        <v>260</v>
      </c>
      <c r="C5" s="10" t="s">
        <v>79</v>
      </c>
      <c r="D5" s="15" t="s">
        <v>81</v>
      </c>
      <c r="E5" s="10" t="s">
        <v>78</v>
      </c>
      <c r="F5" s="140" t="s">
        <v>93</v>
      </c>
    </row>
    <row r="6" spans="1:7" ht="30" x14ac:dyDescent="0.25">
      <c r="A6" s="8" t="s">
        <v>0</v>
      </c>
      <c r="B6" s="17" t="s">
        <v>85</v>
      </c>
      <c r="C6" s="13" t="s">
        <v>80</v>
      </c>
      <c r="D6" s="13"/>
      <c r="E6" s="16" t="s">
        <v>82</v>
      </c>
      <c r="F6" s="141" t="s">
        <v>280</v>
      </c>
    </row>
    <row r="7" spans="1:7" x14ac:dyDescent="0.25">
      <c r="A7" s="1" t="s">
        <v>1</v>
      </c>
      <c r="B7" s="5" t="s">
        <v>58</v>
      </c>
      <c r="C7" s="16" t="s">
        <v>80</v>
      </c>
      <c r="D7" s="16"/>
      <c r="E7" s="16" t="s">
        <v>82</v>
      </c>
      <c r="F7" s="141" t="s">
        <v>281</v>
      </c>
    </row>
    <row r="8" spans="1:7" x14ac:dyDescent="0.25">
      <c r="A8" s="1" t="s">
        <v>2</v>
      </c>
      <c r="B8" s="5" t="s">
        <v>59</v>
      </c>
      <c r="C8" s="16" t="s">
        <v>82</v>
      </c>
      <c r="D8" s="16"/>
      <c r="E8" s="16" t="s">
        <v>82</v>
      </c>
      <c r="F8" s="141" t="s">
        <v>59</v>
      </c>
    </row>
    <row r="9" spans="1:7" x14ac:dyDescent="0.25">
      <c r="A9" s="1" t="s">
        <v>3</v>
      </c>
      <c r="B9" s="5" t="s">
        <v>64</v>
      </c>
      <c r="C9" s="16" t="s">
        <v>82</v>
      </c>
      <c r="D9" s="16"/>
      <c r="E9" s="16" t="s">
        <v>82</v>
      </c>
      <c r="F9" s="142" t="s">
        <v>64</v>
      </c>
    </row>
    <row r="10" spans="1:7" x14ac:dyDescent="0.25">
      <c r="A10" s="2" t="s">
        <v>4</v>
      </c>
      <c r="B10" s="5" t="s">
        <v>62</v>
      </c>
      <c r="C10" s="16" t="s">
        <v>80</v>
      </c>
      <c r="D10" s="16"/>
      <c r="E10" s="16" t="s">
        <v>82</v>
      </c>
      <c r="F10" s="141"/>
    </row>
    <row r="11" spans="1:7" x14ac:dyDescent="0.25">
      <c r="A11" s="2" t="s">
        <v>282</v>
      </c>
      <c r="B11" s="6"/>
      <c r="C11" s="18"/>
      <c r="D11" s="14"/>
      <c r="E11" s="18"/>
      <c r="F11" s="145"/>
    </row>
    <row r="12" spans="1:7" x14ac:dyDescent="0.25">
      <c r="A12" s="2" t="s">
        <v>283</v>
      </c>
      <c r="B12" s="6"/>
      <c r="C12" s="18"/>
      <c r="D12" s="14"/>
      <c r="E12" s="18"/>
      <c r="F12" s="145"/>
    </row>
    <row r="13" spans="1:7" x14ac:dyDescent="0.25">
      <c r="A13" s="2" t="s">
        <v>284</v>
      </c>
      <c r="B13" s="6"/>
      <c r="C13" s="18"/>
      <c r="D13" s="14"/>
      <c r="E13" s="18"/>
      <c r="F13" s="145"/>
    </row>
    <row r="14" spans="1:7" x14ac:dyDescent="0.25">
      <c r="A14" s="1" t="s">
        <v>5</v>
      </c>
      <c r="B14" s="5" t="s">
        <v>60</v>
      </c>
      <c r="C14" s="16" t="s">
        <v>82</v>
      </c>
      <c r="D14" s="16"/>
      <c r="E14" s="16" t="s">
        <v>82</v>
      </c>
      <c r="F14" s="141"/>
    </row>
    <row r="15" spans="1:7" x14ac:dyDescent="0.25">
      <c r="A15" s="1" t="s">
        <v>6</v>
      </c>
      <c r="B15" s="5" t="s">
        <v>61</v>
      </c>
      <c r="C15" s="16" t="s">
        <v>82</v>
      </c>
      <c r="D15" s="16"/>
      <c r="E15" s="16" t="s">
        <v>82</v>
      </c>
      <c r="F15" s="141"/>
    </row>
    <row r="16" spans="1:7" x14ac:dyDescent="0.25">
      <c r="A16" s="1" t="s">
        <v>7</v>
      </c>
      <c r="B16" s="5" t="s">
        <v>67</v>
      </c>
      <c r="C16" s="16" t="s">
        <v>82</v>
      </c>
      <c r="D16" s="16"/>
      <c r="E16" s="16" t="s">
        <v>82</v>
      </c>
      <c r="F16" s="141"/>
    </row>
    <row r="17" spans="1:6" x14ac:dyDescent="0.25">
      <c r="A17" s="1" t="s">
        <v>8</v>
      </c>
      <c r="B17" s="5" t="s">
        <v>61</v>
      </c>
      <c r="C17" s="16" t="s">
        <v>82</v>
      </c>
      <c r="D17" s="16"/>
      <c r="E17" s="16" t="s">
        <v>82</v>
      </c>
      <c r="F17" s="141"/>
    </row>
    <row r="18" spans="1:6" x14ac:dyDescent="0.25">
      <c r="A18" s="1" t="s">
        <v>9</v>
      </c>
      <c r="B18" s="5" t="s">
        <v>61</v>
      </c>
      <c r="C18" s="16" t="s">
        <v>82</v>
      </c>
      <c r="D18" s="16"/>
      <c r="E18" s="16" t="s">
        <v>82</v>
      </c>
      <c r="F18" s="141"/>
    </row>
    <row r="19" spans="1:6" x14ac:dyDescent="0.25">
      <c r="A19" s="1" t="s">
        <v>285</v>
      </c>
      <c r="B19" s="6"/>
      <c r="C19" s="14"/>
      <c r="D19" s="14"/>
      <c r="E19" s="14"/>
      <c r="F19" s="6"/>
    </row>
    <row r="20" spans="1:6" x14ac:dyDescent="0.25">
      <c r="A20" s="1" t="s">
        <v>286</v>
      </c>
      <c r="B20" s="6"/>
      <c r="C20" s="14"/>
      <c r="D20" s="14"/>
      <c r="E20" s="14"/>
      <c r="F20" s="6"/>
    </row>
    <row r="21" spans="1:6" ht="71.25" x14ac:dyDescent="0.25">
      <c r="A21" s="1" t="s">
        <v>38</v>
      </c>
      <c r="B21" s="7" t="s">
        <v>70</v>
      </c>
      <c r="C21" s="16" t="s">
        <v>82</v>
      </c>
      <c r="D21" s="16"/>
      <c r="E21" s="16" t="s">
        <v>82</v>
      </c>
      <c r="F21" s="141"/>
    </row>
    <row r="22" spans="1:6" ht="48.75" x14ac:dyDescent="0.25">
      <c r="A22" s="1" t="s">
        <v>39</v>
      </c>
      <c r="B22" s="7" t="s">
        <v>70</v>
      </c>
      <c r="C22" s="16" t="s">
        <v>82</v>
      </c>
      <c r="D22" s="16"/>
      <c r="E22" s="16" t="s">
        <v>82</v>
      </c>
      <c r="F22" s="141"/>
    </row>
    <row r="23" spans="1:6" x14ac:dyDescent="0.25">
      <c r="A23" s="174" t="s">
        <v>753</v>
      </c>
      <c r="B23" s="6"/>
      <c r="C23" s="14"/>
      <c r="D23" s="14"/>
      <c r="E23" s="14"/>
      <c r="F23" s="6"/>
    </row>
    <row r="24" spans="1:6" x14ac:dyDescent="0.25">
      <c r="A24" s="1" t="s">
        <v>10</v>
      </c>
      <c r="B24" s="5" t="s">
        <v>66</v>
      </c>
      <c r="C24" s="16" t="s">
        <v>82</v>
      </c>
      <c r="D24" s="16"/>
      <c r="E24" s="16" t="s">
        <v>82</v>
      </c>
      <c r="F24" s="141"/>
    </row>
    <row r="25" spans="1:6" x14ac:dyDescent="0.25">
      <c r="A25" s="1" t="s">
        <v>11</v>
      </c>
      <c r="B25" s="5" t="s">
        <v>68</v>
      </c>
      <c r="C25" s="16" t="s">
        <v>82</v>
      </c>
      <c r="D25" s="16"/>
      <c r="E25" s="16" t="s">
        <v>82</v>
      </c>
      <c r="F25" s="141"/>
    </row>
    <row r="26" spans="1:6" x14ac:dyDescent="0.25">
      <c r="A26" s="1" t="s">
        <v>12</v>
      </c>
      <c r="B26" s="5" t="s">
        <v>69</v>
      </c>
      <c r="C26" s="16" t="s">
        <v>82</v>
      </c>
      <c r="D26" s="16"/>
      <c r="E26" s="16" t="s">
        <v>82</v>
      </c>
      <c r="F26" s="141"/>
    </row>
    <row r="27" spans="1:6" ht="37.5" x14ac:dyDescent="0.25">
      <c r="A27" s="3" t="s">
        <v>40</v>
      </c>
      <c r="B27" s="5">
        <v>0</v>
      </c>
      <c r="C27" s="16" t="s">
        <v>82</v>
      </c>
      <c r="D27" s="16"/>
      <c r="E27" s="16" t="s">
        <v>82</v>
      </c>
      <c r="F27" s="141"/>
    </row>
    <row r="28" spans="1:6" ht="45" x14ac:dyDescent="0.25">
      <c r="A28" s="1" t="s">
        <v>41</v>
      </c>
      <c r="B28" s="7" t="s">
        <v>83</v>
      </c>
      <c r="C28" s="13" t="s">
        <v>80</v>
      </c>
      <c r="D28" s="13"/>
      <c r="E28" s="16" t="s">
        <v>82</v>
      </c>
      <c r="F28" s="141"/>
    </row>
    <row r="29" spans="1:6" ht="26.25" x14ac:dyDescent="0.25">
      <c r="A29" s="1" t="s">
        <v>42</v>
      </c>
      <c r="B29" s="6"/>
      <c r="C29" s="14"/>
      <c r="D29" s="14"/>
      <c r="E29" s="14"/>
      <c r="F29" s="6"/>
    </row>
    <row r="30" spans="1:6" ht="45" x14ac:dyDescent="0.25">
      <c r="A30" s="1" t="s">
        <v>287</v>
      </c>
      <c r="B30" s="7" t="s">
        <v>290</v>
      </c>
      <c r="C30" s="13" t="s">
        <v>80</v>
      </c>
      <c r="D30" s="16" t="s">
        <v>80</v>
      </c>
      <c r="E30" s="16" t="s">
        <v>82</v>
      </c>
      <c r="F30" s="147"/>
    </row>
    <row r="31" spans="1:6" ht="45" x14ac:dyDescent="0.25">
      <c r="A31" s="1" t="s">
        <v>288</v>
      </c>
      <c r="B31" s="7" t="s">
        <v>289</v>
      </c>
      <c r="C31" s="13" t="s">
        <v>80</v>
      </c>
      <c r="D31" s="16" t="s">
        <v>80</v>
      </c>
      <c r="E31" s="16" t="s">
        <v>82</v>
      </c>
      <c r="F31" s="147"/>
    </row>
    <row r="32" spans="1:6" ht="37.5" x14ac:dyDescent="0.25">
      <c r="A32" s="3" t="s">
        <v>43</v>
      </c>
      <c r="B32" s="6"/>
      <c r="C32" s="14"/>
      <c r="D32" s="14"/>
      <c r="E32" s="14"/>
      <c r="F32" s="6"/>
    </row>
    <row r="33" spans="1:6" ht="180" x14ac:dyDescent="0.25">
      <c r="A33" s="3" t="s">
        <v>291</v>
      </c>
      <c r="B33" s="6"/>
      <c r="C33" s="14"/>
      <c r="D33" s="14"/>
      <c r="E33" s="14"/>
      <c r="F33" s="6"/>
    </row>
    <row r="34" spans="1:6" x14ac:dyDescent="0.25">
      <c r="A34" s="1" t="s">
        <v>13</v>
      </c>
      <c r="B34" s="5" t="s">
        <v>69</v>
      </c>
      <c r="C34" s="16" t="s">
        <v>82</v>
      </c>
      <c r="D34" s="16"/>
      <c r="E34" s="16" t="s">
        <v>82</v>
      </c>
      <c r="F34" s="141"/>
    </row>
    <row r="35" spans="1:6" x14ac:dyDescent="0.25">
      <c r="A35" s="1" t="s">
        <v>14</v>
      </c>
      <c r="B35" s="6"/>
      <c r="C35" s="14"/>
      <c r="D35" s="14"/>
      <c r="E35" s="14"/>
      <c r="F35" s="6"/>
    </row>
    <row r="36" spans="1:6" x14ac:dyDescent="0.25">
      <c r="A36" s="1" t="s">
        <v>15</v>
      </c>
      <c r="B36" s="6"/>
      <c r="C36" s="14"/>
      <c r="D36" s="14"/>
      <c r="E36" s="14"/>
      <c r="F36" s="6"/>
    </row>
    <row r="37" spans="1:6" x14ac:dyDescent="0.25">
      <c r="A37" s="1" t="s">
        <v>16</v>
      </c>
      <c r="B37" s="6"/>
      <c r="C37" s="14"/>
      <c r="D37" s="14"/>
      <c r="E37" s="14"/>
      <c r="F37" s="6"/>
    </row>
    <row r="38" spans="1:6" x14ac:dyDescent="0.25">
      <c r="A38" s="1" t="s">
        <v>17</v>
      </c>
      <c r="B38" s="6"/>
      <c r="C38" s="14"/>
      <c r="D38" s="14"/>
      <c r="E38" s="14"/>
      <c r="F38" s="6"/>
    </row>
    <row r="39" spans="1:6" ht="30" x14ac:dyDescent="0.25">
      <c r="A39" s="1" t="s">
        <v>18</v>
      </c>
      <c r="B39" s="6"/>
      <c r="C39" s="14"/>
      <c r="D39" s="14"/>
      <c r="E39" s="14"/>
      <c r="F39" s="6"/>
    </row>
    <row r="40" spans="1:6" ht="52.5" x14ac:dyDescent="0.25">
      <c r="A40" s="1" t="s">
        <v>44</v>
      </c>
      <c r="B40" s="5">
        <v>1</v>
      </c>
      <c r="C40" s="16" t="s">
        <v>82</v>
      </c>
      <c r="D40" s="16"/>
      <c r="E40" s="16" t="s">
        <v>82</v>
      </c>
      <c r="F40" s="141"/>
    </row>
    <row r="41" spans="1:6" x14ac:dyDescent="0.25">
      <c r="A41" s="174" t="s">
        <v>754</v>
      </c>
      <c r="B41" s="6"/>
      <c r="C41" s="14"/>
      <c r="D41" s="14"/>
      <c r="E41" s="14"/>
      <c r="F41" s="6"/>
    </row>
    <row r="42" spans="1:6" x14ac:dyDescent="0.25">
      <c r="A42" s="1" t="s">
        <v>19</v>
      </c>
      <c r="B42" s="5">
        <v>1</v>
      </c>
      <c r="C42" s="16" t="s">
        <v>82</v>
      </c>
      <c r="D42" s="16"/>
      <c r="E42" s="16" t="s">
        <v>82</v>
      </c>
      <c r="F42" s="141"/>
    </row>
    <row r="43" spans="1:6" x14ac:dyDescent="0.25">
      <c r="A43" s="1" t="s">
        <v>20</v>
      </c>
      <c r="B43" s="6"/>
      <c r="C43" s="14"/>
      <c r="D43" s="14"/>
      <c r="E43" s="14"/>
      <c r="F43" s="6"/>
    </row>
    <row r="44" spans="1:6" x14ac:dyDescent="0.25">
      <c r="A44" s="1" t="s">
        <v>21</v>
      </c>
      <c r="B44" s="6"/>
      <c r="C44" s="14"/>
      <c r="D44" s="14"/>
      <c r="E44" s="14"/>
      <c r="F44" s="6"/>
    </row>
    <row r="45" spans="1:6" ht="105" x14ac:dyDescent="0.25">
      <c r="A45" s="1" t="s">
        <v>45</v>
      </c>
      <c r="B45" s="7" t="s">
        <v>86</v>
      </c>
      <c r="C45" s="16" t="s">
        <v>82</v>
      </c>
      <c r="D45" s="16"/>
      <c r="E45" s="13" t="s">
        <v>80</v>
      </c>
      <c r="F45" s="142"/>
    </row>
    <row r="46" spans="1:6" ht="82.5" x14ac:dyDescent="0.25">
      <c r="A46" s="1" t="s">
        <v>46</v>
      </c>
      <c r="B46" s="19" t="s">
        <v>87</v>
      </c>
      <c r="C46" s="16" t="s">
        <v>82</v>
      </c>
      <c r="D46" s="16"/>
      <c r="E46" s="13" t="s">
        <v>80</v>
      </c>
      <c r="F46" s="142"/>
    </row>
    <row r="47" spans="1:6" ht="82.5" x14ac:dyDescent="0.25">
      <c r="A47" s="1" t="s">
        <v>47</v>
      </c>
      <c r="B47" s="7" t="s">
        <v>88</v>
      </c>
      <c r="C47" s="16" t="s">
        <v>82</v>
      </c>
      <c r="D47" s="16"/>
      <c r="E47" s="13" t="s">
        <v>80</v>
      </c>
      <c r="F47" s="142"/>
    </row>
    <row r="48" spans="1:6" ht="60" x14ac:dyDescent="0.25">
      <c r="A48" s="1" t="s">
        <v>48</v>
      </c>
      <c r="B48" s="6"/>
      <c r="C48" s="14"/>
      <c r="D48" s="14"/>
      <c r="E48" s="14"/>
      <c r="F48" s="6"/>
    </row>
    <row r="49" spans="1:6" x14ac:dyDescent="0.25">
      <c r="A49" s="1" t="s">
        <v>292</v>
      </c>
      <c r="B49" s="6"/>
      <c r="C49" s="18"/>
      <c r="D49" s="18"/>
      <c r="E49" s="18"/>
      <c r="F49" s="145"/>
    </row>
    <row r="50" spans="1:6" ht="37.5" x14ac:dyDescent="0.25">
      <c r="A50" s="1" t="s">
        <v>49</v>
      </c>
      <c r="B50" s="5" t="s">
        <v>76</v>
      </c>
      <c r="C50" s="16" t="s">
        <v>82</v>
      </c>
      <c r="D50" s="16"/>
      <c r="E50" s="16" t="s">
        <v>82</v>
      </c>
      <c r="F50" s="141"/>
    </row>
    <row r="51" spans="1:6" ht="75" x14ac:dyDescent="0.25">
      <c r="A51" s="1" t="s">
        <v>50</v>
      </c>
      <c r="B51" s="6"/>
      <c r="C51" s="14"/>
      <c r="D51" s="14"/>
      <c r="E51" s="14"/>
      <c r="F51" s="6"/>
    </row>
    <row r="52" spans="1:6" ht="30" x14ac:dyDescent="0.25">
      <c r="A52" s="1" t="s">
        <v>22</v>
      </c>
      <c r="B52" s="7" t="s">
        <v>159</v>
      </c>
      <c r="C52" s="16" t="s">
        <v>82</v>
      </c>
      <c r="D52" s="16"/>
      <c r="E52" s="13" t="s">
        <v>80</v>
      </c>
      <c r="F52" s="142"/>
    </row>
    <row r="53" spans="1:6" ht="30" x14ac:dyDescent="0.25">
      <c r="A53" s="1" t="s">
        <v>23</v>
      </c>
      <c r="B53" s="7" t="s">
        <v>160</v>
      </c>
      <c r="C53" s="16" t="s">
        <v>82</v>
      </c>
      <c r="D53" s="16"/>
      <c r="E53" s="13" t="s">
        <v>80</v>
      </c>
      <c r="F53" s="142"/>
    </row>
    <row r="54" spans="1:6" x14ac:dyDescent="0.25">
      <c r="A54" s="1" t="s">
        <v>24</v>
      </c>
      <c r="B54" s="7" t="s">
        <v>161</v>
      </c>
      <c r="C54" s="16" t="s">
        <v>82</v>
      </c>
      <c r="D54" s="16"/>
      <c r="E54" s="13" t="s">
        <v>80</v>
      </c>
      <c r="F54" s="142"/>
    </row>
    <row r="55" spans="1:6" ht="37.5" x14ac:dyDescent="0.25">
      <c r="A55" s="1" t="s">
        <v>51</v>
      </c>
      <c r="B55" s="5">
        <v>1</v>
      </c>
      <c r="C55" s="16" t="s">
        <v>82</v>
      </c>
      <c r="D55" s="16"/>
      <c r="E55" s="16" t="s">
        <v>82</v>
      </c>
      <c r="F55" s="141"/>
    </row>
    <row r="56" spans="1:6" x14ac:dyDescent="0.25">
      <c r="A56" s="1" t="s">
        <v>26</v>
      </c>
      <c r="B56" s="5" t="s">
        <v>73</v>
      </c>
      <c r="C56" s="16" t="s">
        <v>82</v>
      </c>
      <c r="D56" s="16"/>
      <c r="E56" s="16" t="s">
        <v>82</v>
      </c>
      <c r="F56" s="141"/>
    </row>
    <row r="57" spans="1:6" x14ac:dyDescent="0.25">
      <c r="A57" s="1" t="s">
        <v>27</v>
      </c>
      <c r="B57" s="6"/>
      <c r="C57" s="14"/>
      <c r="D57" s="14"/>
      <c r="E57" s="14"/>
      <c r="F57" s="6"/>
    </row>
    <row r="58" spans="1:6" ht="228.75" x14ac:dyDescent="0.25">
      <c r="A58" s="3" t="s">
        <v>52</v>
      </c>
      <c r="B58" s="7" t="s">
        <v>90</v>
      </c>
      <c r="C58" s="16" t="s">
        <v>82</v>
      </c>
      <c r="D58" s="16"/>
      <c r="E58" s="16" t="s">
        <v>82</v>
      </c>
      <c r="F58" s="141"/>
    </row>
    <row r="59" spans="1:6" ht="45" x14ac:dyDescent="0.25">
      <c r="A59" s="1" t="s">
        <v>294</v>
      </c>
      <c r="B59" s="7" t="s">
        <v>325</v>
      </c>
      <c r="C59" s="16" t="s">
        <v>82</v>
      </c>
      <c r="D59" s="16"/>
      <c r="E59" s="16" t="s">
        <v>82</v>
      </c>
      <c r="F59" s="141"/>
    </row>
    <row r="60" spans="1:6" ht="45" x14ac:dyDescent="0.25">
      <c r="A60" s="3" t="s">
        <v>295</v>
      </c>
      <c r="B60" s="7" t="s">
        <v>326</v>
      </c>
      <c r="C60" s="16" t="s">
        <v>82</v>
      </c>
      <c r="D60" s="16"/>
      <c r="E60" s="16" t="s">
        <v>82</v>
      </c>
      <c r="F60" s="141"/>
    </row>
    <row r="61" spans="1:6" x14ac:dyDescent="0.25">
      <c r="A61" s="3" t="s">
        <v>296</v>
      </c>
      <c r="B61" s="146"/>
      <c r="C61" s="18"/>
      <c r="D61" s="18"/>
      <c r="E61" s="18"/>
      <c r="F61" s="148"/>
    </row>
    <row r="62" spans="1:6" x14ac:dyDescent="0.25">
      <c r="A62" s="3" t="s">
        <v>296</v>
      </c>
      <c r="B62" s="146"/>
      <c r="C62" s="18"/>
      <c r="D62" s="18"/>
      <c r="E62" s="18"/>
      <c r="F62" s="148"/>
    </row>
    <row r="63" spans="1:6" x14ac:dyDescent="0.25">
      <c r="A63" s="3" t="s">
        <v>296</v>
      </c>
      <c r="B63" s="146"/>
      <c r="C63" s="18"/>
      <c r="D63" s="18"/>
      <c r="E63" s="18"/>
      <c r="F63" s="148"/>
    </row>
    <row r="64" spans="1:6" x14ac:dyDescent="0.25">
      <c r="A64" s="3" t="s">
        <v>296</v>
      </c>
      <c r="B64" s="146"/>
      <c r="C64" s="18"/>
      <c r="D64" s="18"/>
      <c r="E64" s="18"/>
      <c r="F64" s="148"/>
    </row>
    <row r="65" spans="1:6" ht="45" x14ac:dyDescent="0.25">
      <c r="A65" s="3" t="s">
        <v>53</v>
      </c>
      <c r="B65" s="7" t="s">
        <v>89</v>
      </c>
      <c r="C65" s="16" t="s">
        <v>82</v>
      </c>
      <c r="D65" s="16"/>
      <c r="E65" s="13" t="s">
        <v>80</v>
      </c>
      <c r="F65" s="142"/>
    </row>
    <row r="66" spans="1:6" ht="105" x14ac:dyDescent="0.25">
      <c r="A66" s="3" t="s">
        <v>54</v>
      </c>
      <c r="B66" s="7" t="s">
        <v>70</v>
      </c>
      <c r="C66" s="16" t="s">
        <v>82</v>
      </c>
      <c r="D66" s="16"/>
      <c r="E66" s="16" t="s">
        <v>82</v>
      </c>
      <c r="F66" s="141"/>
    </row>
    <row r="67" spans="1:6" ht="105" x14ac:dyDescent="0.25">
      <c r="A67" s="3" t="s">
        <v>55</v>
      </c>
      <c r="B67" s="7" t="s">
        <v>84</v>
      </c>
      <c r="C67" s="16" t="s">
        <v>82</v>
      </c>
      <c r="D67" s="16"/>
      <c r="E67" s="16" t="s">
        <v>82</v>
      </c>
      <c r="F67" s="141"/>
    </row>
    <row r="68" spans="1:6" ht="60" x14ac:dyDescent="0.25">
      <c r="A68" s="1" t="s">
        <v>56</v>
      </c>
      <c r="B68" s="7" t="s">
        <v>71</v>
      </c>
      <c r="C68" s="16" t="s">
        <v>82</v>
      </c>
      <c r="D68" s="16"/>
      <c r="E68" s="16" t="s">
        <v>82</v>
      </c>
      <c r="F68" s="141"/>
    </row>
    <row r="69" spans="1:6" ht="48.75" x14ac:dyDescent="0.25">
      <c r="A69" s="1" t="s">
        <v>57</v>
      </c>
      <c r="B69" s="5" t="s">
        <v>72</v>
      </c>
      <c r="C69" s="16" t="s">
        <v>82</v>
      </c>
      <c r="D69" s="16"/>
      <c r="E69" s="16" t="s">
        <v>82</v>
      </c>
      <c r="F69" s="141"/>
    </row>
    <row r="70" spans="1:6" x14ac:dyDescent="0.25">
      <c r="A70" s="1" t="s">
        <v>28</v>
      </c>
      <c r="B70" s="6"/>
      <c r="C70" s="14"/>
      <c r="D70" s="14"/>
      <c r="E70" s="14"/>
      <c r="F70" s="6"/>
    </row>
    <row r="71" spans="1:6" x14ac:dyDescent="0.25">
      <c r="A71" s="1" t="s">
        <v>29</v>
      </c>
      <c r="B71" s="6"/>
      <c r="C71" s="14"/>
      <c r="D71" s="14"/>
      <c r="E71" s="14"/>
      <c r="F71" s="6"/>
    </row>
    <row r="72" spans="1:6" x14ac:dyDescent="0.25">
      <c r="A72" s="1" t="s">
        <v>30</v>
      </c>
      <c r="B72" s="6"/>
      <c r="C72" s="14"/>
      <c r="D72" s="14"/>
      <c r="E72" s="14"/>
      <c r="F72" s="6"/>
    </row>
    <row r="73" spans="1:6" x14ac:dyDescent="0.25">
      <c r="A73" s="1" t="s">
        <v>31</v>
      </c>
      <c r="B73" s="6"/>
      <c r="C73" s="14"/>
      <c r="D73" s="14"/>
      <c r="E73" s="14"/>
      <c r="F73" s="6"/>
    </row>
    <row r="74" spans="1:6" x14ac:dyDescent="0.25">
      <c r="A74" s="1" t="s">
        <v>32</v>
      </c>
      <c r="B74" s="6"/>
      <c r="C74" s="14"/>
      <c r="D74" s="14"/>
      <c r="E74" s="14"/>
      <c r="F74" s="6"/>
    </row>
    <row r="75" spans="1:6" x14ac:dyDescent="0.25">
      <c r="A75" s="1" t="s">
        <v>33</v>
      </c>
      <c r="B75" s="6"/>
      <c r="C75" s="14"/>
      <c r="D75" s="14"/>
      <c r="E75" s="14"/>
      <c r="F75" s="6"/>
    </row>
    <row r="76" spans="1:6" x14ac:dyDescent="0.25">
      <c r="A76" s="1" t="s">
        <v>34</v>
      </c>
      <c r="B76" s="6"/>
      <c r="C76" s="14"/>
      <c r="D76" s="14"/>
      <c r="E76" s="14"/>
      <c r="F76" s="6"/>
    </row>
    <row r="77" spans="1:6" x14ac:dyDescent="0.25">
      <c r="A77" s="1" t="s">
        <v>35</v>
      </c>
      <c r="B77" s="6"/>
      <c r="C77" s="14"/>
      <c r="D77" s="14"/>
      <c r="E77" s="14"/>
      <c r="F77" s="6"/>
    </row>
    <row r="78" spans="1:6" x14ac:dyDescent="0.25">
      <c r="A78" s="1" t="s">
        <v>297</v>
      </c>
      <c r="B78" s="6"/>
      <c r="C78" s="14"/>
      <c r="D78" s="14"/>
      <c r="E78" s="14"/>
      <c r="F78" s="6"/>
    </row>
    <row r="79" spans="1:6" x14ac:dyDescent="0.25">
      <c r="A79" s="1" t="s">
        <v>298</v>
      </c>
      <c r="B79" s="6"/>
      <c r="C79" s="14"/>
      <c r="D79" s="14"/>
      <c r="E79" s="14"/>
      <c r="F79" s="6"/>
    </row>
    <row r="80" spans="1:6" x14ac:dyDescent="0.25">
      <c r="A80" s="1" t="s">
        <v>36</v>
      </c>
      <c r="B80" s="5" t="s">
        <v>73</v>
      </c>
      <c r="C80" s="16" t="s">
        <v>82</v>
      </c>
      <c r="D80" s="16"/>
      <c r="E80" s="16" t="s">
        <v>82</v>
      </c>
      <c r="F80" s="141"/>
    </row>
    <row r="81" spans="1:6" x14ac:dyDescent="0.25">
      <c r="A81" s="1" t="s">
        <v>37</v>
      </c>
      <c r="B81" s="5" t="s">
        <v>73</v>
      </c>
      <c r="C81" s="16" t="s">
        <v>82</v>
      </c>
      <c r="D81" s="16"/>
      <c r="E81" s="16" t="s">
        <v>82</v>
      </c>
      <c r="F81" s="141"/>
    </row>
  </sheetData>
  <autoFilter ref="A5:F81" xr:uid="{4B3EB055-18A8-492D-9FFB-36ECAB9AD8D5}"/>
  <mergeCells count="1">
    <mergeCell ref="A3:F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C356-A60A-4E72-90EE-19EFFA5333F6}">
  <sheetPr>
    <pageSetUpPr fitToPage="1"/>
  </sheetPr>
  <dimension ref="A1:AW12"/>
  <sheetViews>
    <sheetView zoomScaleNormal="100" workbookViewId="0"/>
  </sheetViews>
  <sheetFormatPr baseColWidth="10" defaultColWidth="11.42578125" defaultRowHeight="15" x14ac:dyDescent="0.25"/>
  <cols>
    <col min="1" max="1" width="11.42578125" style="26"/>
    <col min="2" max="2" width="9.28515625" style="26" customWidth="1"/>
    <col min="3" max="3" width="17.28515625" style="26" bestFit="1" customWidth="1"/>
    <col min="4" max="4" width="15.28515625" style="26" customWidth="1"/>
    <col min="5" max="5" width="24.140625" style="26" customWidth="1"/>
    <col min="6" max="6" width="11.5703125" style="26" customWidth="1"/>
    <col min="7" max="7" width="11.28515625" style="26" customWidth="1"/>
    <col min="8" max="8" width="7.42578125" style="26" bestFit="1" customWidth="1"/>
    <col min="9" max="9" width="5.85546875" style="26" customWidth="1"/>
    <col min="10" max="10" width="9.42578125" style="26" customWidth="1"/>
    <col min="11" max="11" width="24.5703125" style="26" bestFit="1" customWidth="1"/>
    <col min="12" max="12" width="28.7109375" style="26" bestFit="1" customWidth="1"/>
    <col min="13" max="13" width="8.42578125" style="26" customWidth="1"/>
    <col min="14" max="21" width="11.42578125" style="26" customWidth="1"/>
    <col min="22" max="22" width="8" style="26" customWidth="1"/>
    <col min="23" max="23" width="20.28515625" style="26" customWidth="1"/>
    <col min="24" max="24" width="30.5703125" style="26" customWidth="1"/>
    <col min="25" max="25" width="6.140625" style="26" customWidth="1"/>
    <col min="26" max="26" width="5.140625" style="26" customWidth="1"/>
    <col min="27" max="27" width="13.85546875" style="26" bestFit="1" customWidth="1"/>
    <col min="28" max="28" width="17.7109375" style="26" customWidth="1"/>
    <col min="29" max="29" width="24.5703125" style="26" bestFit="1" customWidth="1"/>
    <col min="30" max="30" width="10" style="26" customWidth="1"/>
    <col min="31" max="32" width="11.42578125" style="26"/>
    <col min="33" max="33" width="10.42578125" style="26" customWidth="1"/>
    <col min="34" max="34" width="5.5703125" style="26" customWidth="1"/>
    <col min="35" max="35" width="13.85546875" style="26" bestFit="1" customWidth="1"/>
    <col min="36" max="36" width="16.42578125" style="26" customWidth="1"/>
    <col min="37" max="37" width="24.85546875" style="26" bestFit="1" customWidth="1"/>
    <col min="38" max="38" width="10" style="26" customWidth="1"/>
    <col min="39" max="40" width="11.42578125" style="26"/>
    <col min="41" max="41" width="10.28515625" style="26" customWidth="1"/>
    <col min="42" max="42" width="4.85546875" style="26" customWidth="1"/>
    <col min="43" max="43" width="13.85546875" style="26" bestFit="1" customWidth="1"/>
    <col min="44" max="44" width="15.7109375" style="26" customWidth="1"/>
    <col min="45" max="45" width="24.85546875" style="26" bestFit="1" customWidth="1"/>
    <col min="46" max="46" width="10" style="26" customWidth="1"/>
    <col min="47" max="48" width="11.42578125" style="26"/>
    <col min="49" max="49" width="10.42578125" style="26" customWidth="1"/>
    <col min="50" max="16384" width="11.42578125" style="26"/>
  </cols>
  <sheetData>
    <row r="1" spans="1:49" ht="23.25" x14ac:dyDescent="0.35">
      <c r="A1" s="25" t="s">
        <v>96</v>
      </c>
      <c r="C1" s="27"/>
      <c r="E1" s="27"/>
      <c r="F1" s="27"/>
      <c r="G1" s="27"/>
      <c r="H1" s="27"/>
      <c r="I1" s="27"/>
      <c r="Y1" s="162" t="s">
        <v>97</v>
      </c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4"/>
    </row>
    <row r="2" spans="1:49" ht="15.75" thickBot="1" x14ac:dyDescent="0.3">
      <c r="Y2" s="165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7"/>
    </row>
    <row r="3" spans="1:49" ht="16.5" thickBot="1" x14ac:dyDescent="0.3">
      <c r="O3" s="168" t="s">
        <v>98</v>
      </c>
      <c r="P3" s="169"/>
      <c r="Q3" s="169"/>
      <c r="R3" s="169"/>
      <c r="S3" s="169"/>
      <c r="T3" s="169"/>
      <c r="U3" s="169"/>
      <c r="V3" s="170"/>
      <c r="Y3" s="28"/>
      <c r="Z3" s="171" t="s">
        <v>99</v>
      </c>
      <c r="AA3" s="172"/>
      <c r="AB3" s="172"/>
      <c r="AC3" s="172"/>
      <c r="AD3" s="172"/>
      <c r="AE3" s="172"/>
      <c r="AF3" s="172"/>
      <c r="AG3" s="173"/>
      <c r="AH3" s="171" t="s">
        <v>100</v>
      </c>
      <c r="AI3" s="172"/>
      <c r="AJ3" s="172"/>
      <c r="AK3" s="172"/>
      <c r="AL3" s="172"/>
      <c r="AM3" s="172"/>
      <c r="AN3" s="172"/>
      <c r="AO3" s="173"/>
      <c r="AP3" s="171" t="s">
        <v>101</v>
      </c>
      <c r="AQ3" s="172"/>
      <c r="AR3" s="172"/>
      <c r="AS3" s="172"/>
      <c r="AT3" s="172"/>
      <c r="AU3" s="172"/>
      <c r="AV3" s="172"/>
      <c r="AW3" s="173"/>
    </row>
    <row r="4" spans="1:49" s="53" customFormat="1" ht="45.75" thickBot="1" x14ac:dyDescent="0.3">
      <c r="A4" s="29" t="s">
        <v>102</v>
      </c>
      <c r="B4" s="30" t="s">
        <v>103</v>
      </c>
      <c r="C4" s="31" t="s">
        <v>104</v>
      </c>
      <c r="D4" s="32" t="s">
        <v>105</v>
      </c>
      <c r="E4" s="31" t="s">
        <v>106</v>
      </c>
      <c r="F4" s="31" t="s">
        <v>107</v>
      </c>
      <c r="G4" s="31" t="s">
        <v>108</v>
      </c>
      <c r="H4" s="31" t="s">
        <v>109</v>
      </c>
      <c r="I4" s="31" t="s">
        <v>110</v>
      </c>
      <c r="J4" s="32" t="s">
        <v>111</v>
      </c>
      <c r="K4" s="31" t="s">
        <v>112</v>
      </c>
      <c r="L4" s="31" t="s">
        <v>113</v>
      </c>
      <c r="M4" s="31" t="s">
        <v>114</v>
      </c>
      <c r="N4" s="33" t="s">
        <v>115</v>
      </c>
      <c r="O4" s="34" t="s">
        <v>116</v>
      </c>
      <c r="P4" s="35" t="s">
        <v>117</v>
      </c>
      <c r="Q4" s="36" t="s">
        <v>118</v>
      </c>
      <c r="R4" s="37" t="s">
        <v>119</v>
      </c>
      <c r="S4" s="38" t="s">
        <v>120</v>
      </c>
      <c r="T4" s="39" t="s">
        <v>121</v>
      </c>
      <c r="U4" s="40" t="s">
        <v>122</v>
      </c>
      <c r="V4" s="41" t="s">
        <v>123</v>
      </c>
      <c r="W4" s="29" t="s">
        <v>124</v>
      </c>
      <c r="X4" s="42" t="s">
        <v>125</v>
      </c>
      <c r="Y4" s="43"/>
      <c r="Z4" s="44"/>
      <c r="AA4" s="45"/>
      <c r="AB4" s="46" t="s">
        <v>104</v>
      </c>
      <c r="AC4" s="47" t="s">
        <v>106</v>
      </c>
      <c r="AD4" s="48" t="s">
        <v>126</v>
      </c>
      <c r="AE4" s="48" t="s">
        <v>127</v>
      </c>
      <c r="AF4" s="48" t="s">
        <v>128</v>
      </c>
      <c r="AG4" s="49" t="s">
        <v>129</v>
      </c>
      <c r="AH4" s="50"/>
      <c r="AI4" s="45"/>
      <c r="AJ4" s="46" t="s">
        <v>104</v>
      </c>
      <c r="AK4" s="47" t="s">
        <v>106</v>
      </c>
      <c r="AL4" s="48" t="s">
        <v>126</v>
      </c>
      <c r="AM4" s="51" t="s">
        <v>127</v>
      </c>
      <c r="AN4" s="51" t="s">
        <v>128</v>
      </c>
      <c r="AO4" s="49" t="s">
        <v>129</v>
      </c>
      <c r="AP4" s="52"/>
      <c r="AQ4" s="46"/>
      <c r="AR4" s="46" t="s">
        <v>104</v>
      </c>
      <c r="AS4" s="47" t="s">
        <v>106</v>
      </c>
      <c r="AT4" s="48" t="s">
        <v>126</v>
      </c>
      <c r="AU4" s="51" t="s">
        <v>127</v>
      </c>
      <c r="AV4" s="51" t="s">
        <v>128</v>
      </c>
      <c r="AW4" s="49" t="s">
        <v>129</v>
      </c>
    </row>
    <row r="5" spans="1:49" s="54" customFormat="1" ht="15.75" thickBot="1" x14ac:dyDescent="0.3">
      <c r="A5" s="63" t="s">
        <v>130</v>
      </c>
      <c r="B5" s="64" t="s">
        <v>131</v>
      </c>
      <c r="C5" s="65" t="s">
        <v>91</v>
      </c>
      <c r="D5" s="66" t="s">
        <v>94</v>
      </c>
      <c r="E5" s="64" t="s">
        <v>132</v>
      </c>
      <c r="F5" s="65" t="s">
        <v>95</v>
      </c>
      <c r="G5" s="65" t="s">
        <v>133</v>
      </c>
      <c r="H5" s="64">
        <v>49</v>
      </c>
      <c r="I5" s="64">
        <v>17</v>
      </c>
      <c r="J5" s="67">
        <v>140</v>
      </c>
      <c r="K5" s="64" t="s">
        <v>134</v>
      </c>
      <c r="L5" s="64" t="s">
        <v>135</v>
      </c>
      <c r="M5" s="68">
        <v>18.5</v>
      </c>
      <c r="N5" s="69">
        <f>M5/0.85</f>
        <v>21.764705882352942</v>
      </c>
      <c r="O5" s="70">
        <v>30.2</v>
      </c>
      <c r="P5" s="71">
        <v>30.2</v>
      </c>
      <c r="Q5" s="72">
        <v>179</v>
      </c>
      <c r="R5" s="73">
        <v>40.75</v>
      </c>
      <c r="S5" s="74">
        <v>229</v>
      </c>
      <c r="T5" s="75">
        <v>30.2</v>
      </c>
      <c r="U5" s="76">
        <f>Q5/1.2</f>
        <v>149.16666666666669</v>
      </c>
      <c r="V5" s="77" t="s">
        <v>136</v>
      </c>
      <c r="W5" s="78" t="s">
        <v>137</v>
      </c>
      <c r="X5" s="79" t="s">
        <v>138</v>
      </c>
      <c r="Y5" s="80" t="str">
        <f t="shared" ref="Y5" si="0">MID(D5,2,6)</f>
        <v>104424</v>
      </c>
      <c r="Z5" s="81">
        <v>1</v>
      </c>
      <c r="AA5" s="82" t="str">
        <f>CONCATENATE("P",Y5,"0000",Z5)</f>
        <v>P10442400001</v>
      </c>
      <c r="AB5" s="82" t="s">
        <v>139</v>
      </c>
      <c r="AC5" s="83" t="str">
        <f>CONCATENATE($F5," ",$G5," FC ",$H5," ",$I5)</f>
        <v>DSF2212 BRUN FC 49 17</v>
      </c>
      <c r="AD5" s="84">
        <f t="shared" ref="AD5" si="1">M5*0.5</f>
        <v>9.25</v>
      </c>
      <c r="AE5" s="84">
        <f>AD5*0.85</f>
        <v>7.8624999999999998</v>
      </c>
      <c r="AF5" s="85">
        <f t="shared" ref="AF5" si="2">R5*0.6</f>
        <v>24.45</v>
      </c>
      <c r="AG5" s="86">
        <f t="shared" ref="AG5" si="3">O5*0.6</f>
        <v>18.119999999999997</v>
      </c>
      <c r="AH5" s="81">
        <f t="shared" ref="AH5" si="4">Z5+1</f>
        <v>2</v>
      </c>
      <c r="AI5" s="82" t="str">
        <f t="shared" ref="AI5" si="5">CONCATENATE("P",Y5,"0000",AH5)</f>
        <v>P10442400002</v>
      </c>
      <c r="AJ5" s="82" t="s">
        <v>140</v>
      </c>
      <c r="AK5" s="83" t="str">
        <f>CONCATENATE($F5," ",$G5," BD ",$H5," ",$I5)</f>
        <v>DSF2212 BRUN BD 49 17</v>
      </c>
      <c r="AL5" s="84">
        <f t="shared" ref="AL5" si="6">M5*0.25</f>
        <v>4.625</v>
      </c>
      <c r="AM5" s="84">
        <f>AL5*0.85</f>
        <v>3.9312499999999999</v>
      </c>
      <c r="AN5" s="85">
        <f t="shared" ref="AN5" si="7">R5*0.3</f>
        <v>12.225</v>
      </c>
      <c r="AO5" s="87">
        <f t="shared" ref="AO5" si="8">O5*0.3</f>
        <v>9.0599999999999987</v>
      </c>
      <c r="AP5" s="81">
        <f>AH5+1</f>
        <v>3</v>
      </c>
      <c r="AQ5" s="82" t="str">
        <f t="shared" ref="AQ5" si="9">CONCATENATE("P",Y5,"0000",AP5)</f>
        <v>P10442400003</v>
      </c>
      <c r="AR5" s="82" t="s">
        <v>141</v>
      </c>
      <c r="AS5" s="83" t="str">
        <f>CONCATENATE($F5," ",$G5," BG ",$H5," ",$I5)</f>
        <v>DSF2212 BRUN BG 49 17</v>
      </c>
      <c r="AT5" s="84">
        <f>AL5</f>
        <v>4.625</v>
      </c>
      <c r="AU5" s="84">
        <f>AT5*0.85</f>
        <v>3.9312499999999999</v>
      </c>
      <c r="AV5" s="85">
        <f>AN5</f>
        <v>12.225</v>
      </c>
      <c r="AW5" s="88">
        <f>AO5</f>
        <v>9.0599999999999987</v>
      </c>
    </row>
    <row r="8" spans="1:49" s="57" customFormat="1" x14ac:dyDescent="0.25">
      <c r="A8" s="55" t="s">
        <v>142</v>
      </c>
      <c r="B8" s="56"/>
    </row>
    <row r="9" spans="1:49" s="57" customFormat="1" x14ac:dyDescent="0.25">
      <c r="A9" s="58"/>
      <c r="B9" s="59" t="s">
        <v>137</v>
      </c>
    </row>
    <row r="10" spans="1:49" s="57" customFormat="1" x14ac:dyDescent="0.25">
      <c r="A10" s="56"/>
      <c r="B10" s="56"/>
    </row>
    <row r="11" spans="1:49" s="57" customFormat="1" x14ac:dyDescent="0.25">
      <c r="A11" s="60" t="s">
        <v>143</v>
      </c>
    </row>
    <row r="12" spans="1:49" s="57" customFormat="1" x14ac:dyDescent="0.25"/>
  </sheetData>
  <mergeCells count="5">
    <mergeCell ref="Y1:AW2"/>
    <mergeCell ref="O3:V3"/>
    <mergeCell ref="Z3:AG3"/>
    <mergeCell ref="AH3:AO3"/>
    <mergeCell ref="AP3:AW3"/>
  </mergeCells>
  <conditionalFormatting sqref="D5">
    <cfRule type="duplicateValues" dxfId="1" priority="3" stopIfTrue="1"/>
  </conditionalFormatting>
  <pageMargins left="0.25" right="0.25" top="0.75" bottom="0.75" header="0.3" footer="0.3"/>
  <pageSetup paperSize="9" scale="4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9950-62BA-4563-8C29-C94F09424825}">
  <dimension ref="A1:BR3"/>
  <sheetViews>
    <sheetView workbookViewId="0"/>
  </sheetViews>
  <sheetFormatPr baseColWidth="10" defaultRowHeight="15" x14ac:dyDescent="0.25"/>
  <cols>
    <col min="2" max="2" width="13.7109375" bestFit="1" customWidth="1"/>
    <col min="3" max="3" width="15" bestFit="1" customWidth="1"/>
    <col min="9" max="9" width="26.85546875" bestFit="1" customWidth="1"/>
    <col min="10" max="10" width="16.28515625" bestFit="1" customWidth="1"/>
    <col min="11" max="11" width="29.5703125" bestFit="1" customWidth="1"/>
    <col min="12" max="12" width="9.85546875" bestFit="1" customWidth="1"/>
    <col min="13" max="13" width="7.7109375" bestFit="1" customWidth="1"/>
    <col min="14" max="14" width="8.5703125" bestFit="1" customWidth="1"/>
    <col min="15" max="15" width="9" bestFit="1" customWidth="1"/>
    <col min="16" max="16" width="11.140625" bestFit="1" customWidth="1"/>
    <col min="17" max="17" width="10.140625" bestFit="1" customWidth="1"/>
    <col min="18" max="18" width="9.7109375" bestFit="1" customWidth="1"/>
    <col min="19" max="19" width="10.28515625" bestFit="1" customWidth="1"/>
    <col min="20" max="20" width="9" bestFit="1" customWidth="1"/>
  </cols>
  <sheetData>
    <row r="1" spans="1:70" ht="60.75" thickBot="1" x14ac:dyDescent="0.3">
      <c r="A1" s="89" t="s">
        <v>164</v>
      </c>
      <c r="B1" s="90" t="s">
        <v>105</v>
      </c>
      <c r="C1" s="91" t="s">
        <v>165</v>
      </c>
      <c r="D1" s="92" t="s">
        <v>166</v>
      </c>
      <c r="E1" s="92" t="s">
        <v>167</v>
      </c>
      <c r="F1" s="92" t="s">
        <v>168</v>
      </c>
      <c r="G1" s="93" t="s">
        <v>169</v>
      </c>
      <c r="H1" s="94" t="s">
        <v>170</v>
      </c>
      <c r="I1" s="93" t="s">
        <v>171</v>
      </c>
      <c r="J1" s="93" t="s">
        <v>172</v>
      </c>
      <c r="K1" s="93" t="s">
        <v>173</v>
      </c>
      <c r="L1" s="93" t="s">
        <v>174</v>
      </c>
      <c r="M1" s="93" t="s">
        <v>175</v>
      </c>
      <c r="N1" s="93" t="s">
        <v>176</v>
      </c>
      <c r="O1" s="93" t="s">
        <v>177</v>
      </c>
      <c r="P1" s="93" t="s">
        <v>178</v>
      </c>
      <c r="Q1" s="95" t="s">
        <v>179</v>
      </c>
      <c r="R1" s="96" t="s">
        <v>180</v>
      </c>
      <c r="S1" s="97" t="s">
        <v>181</v>
      </c>
      <c r="T1" s="97" t="s">
        <v>182</v>
      </c>
      <c r="U1" s="93" t="s">
        <v>183</v>
      </c>
      <c r="V1" s="93" t="s">
        <v>184</v>
      </c>
      <c r="W1" s="93" t="s">
        <v>185</v>
      </c>
      <c r="X1" s="93" t="s">
        <v>186</v>
      </c>
      <c r="Y1" s="93" t="s">
        <v>187</v>
      </c>
      <c r="Z1" s="93" t="s">
        <v>188</v>
      </c>
      <c r="AA1" s="93" t="s">
        <v>189</v>
      </c>
      <c r="AB1" s="93" t="s">
        <v>190</v>
      </c>
      <c r="AC1" s="93" t="s">
        <v>191</v>
      </c>
      <c r="AD1" s="92" t="s">
        <v>192</v>
      </c>
      <c r="AE1" s="92" t="s">
        <v>193</v>
      </c>
      <c r="AF1" s="94" t="s">
        <v>194</v>
      </c>
      <c r="AG1" s="94" t="s">
        <v>195</v>
      </c>
      <c r="AH1" s="94" t="s">
        <v>196</v>
      </c>
      <c r="AI1" s="94" t="s">
        <v>197</v>
      </c>
      <c r="AJ1" s="98" t="s">
        <v>198</v>
      </c>
      <c r="AK1" s="94" t="s">
        <v>199</v>
      </c>
      <c r="AL1" s="94" t="s">
        <v>200</v>
      </c>
      <c r="AM1" s="94" t="s">
        <v>201</v>
      </c>
      <c r="AN1" s="94" t="s">
        <v>202</v>
      </c>
      <c r="AO1" s="93" t="s">
        <v>203</v>
      </c>
      <c r="AP1" s="94" t="s">
        <v>204</v>
      </c>
      <c r="AQ1" s="94" t="s">
        <v>205</v>
      </c>
      <c r="AR1" s="94" t="s">
        <v>206</v>
      </c>
      <c r="AS1" s="99" t="s">
        <v>207</v>
      </c>
      <c r="AT1" s="99" t="s">
        <v>208</v>
      </c>
      <c r="AU1" s="99" t="s">
        <v>209</v>
      </c>
      <c r="AV1" s="99" t="s">
        <v>210</v>
      </c>
      <c r="AW1" s="99" t="s">
        <v>211</v>
      </c>
      <c r="AX1" s="99" t="s">
        <v>212</v>
      </c>
      <c r="AY1" s="99" t="s">
        <v>213</v>
      </c>
      <c r="AZ1" s="100" t="s">
        <v>214</v>
      </c>
      <c r="BA1" s="101" t="s">
        <v>215</v>
      </c>
      <c r="BB1" s="92" t="s">
        <v>216</v>
      </c>
      <c r="BC1" s="93" t="s">
        <v>217</v>
      </c>
      <c r="BD1" s="102" t="s">
        <v>218</v>
      </c>
      <c r="BE1" s="102" t="s">
        <v>219</v>
      </c>
      <c r="BF1" s="103" t="s">
        <v>220</v>
      </c>
      <c r="BG1" s="103" t="s">
        <v>221</v>
      </c>
      <c r="BH1" s="103" t="s">
        <v>222</v>
      </c>
      <c r="BI1" s="104" t="s">
        <v>223</v>
      </c>
      <c r="BJ1" s="104" t="s">
        <v>224</v>
      </c>
      <c r="BK1" s="105" t="s">
        <v>225</v>
      </c>
      <c r="BL1" s="106" t="s">
        <v>226</v>
      </c>
      <c r="BM1" s="107" t="s">
        <v>227</v>
      </c>
      <c r="BN1" s="106" t="s">
        <v>228</v>
      </c>
      <c r="BO1" s="108" t="s">
        <v>229</v>
      </c>
      <c r="BP1" s="109" t="s">
        <v>230</v>
      </c>
      <c r="BQ1" s="110" t="s">
        <v>231</v>
      </c>
      <c r="BR1" s="110" t="s">
        <v>232</v>
      </c>
    </row>
    <row r="2" spans="1:70" x14ac:dyDescent="0.25">
      <c r="A2" s="111">
        <v>3070</v>
      </c>
      <c r="B2" s="112" t="s">
        <v>94</v>
      </c>
      <c r="C2" s="113" t="s">
        <v>91</v>
      </c>
      <c r="D2" s="114" t="s">
        <v>233</v>
      </c>
      <c r="E2" s="114" t="s">
        <v>233</v>
      </c>
      <c r="F2" s="115" t="s">
        <v>234</v>
      </c>
      <c r="G2" s="116" t="s">
        <v>235</v>
      </c>
      <c r="H2" s="117">
        <v>0</v>
      </c>
      <c r="I2" s="116" t="s">
        <v>236</v>
      </c>
      <c r="J2" s="116" t="s">
        <v>237</v>
      </c>
      <c r="K2" s="116" t="s">
        <v>238</v>
      </c>
      <c r="L2" s="118" t="s">
        <v>95</v>
      </c>
      <c r="M2" s="119" t="s">
        <v>239</v>
      </c>
      <c r="N2" s="119" t="s">
        <v>239</v>
      </c>
      <c r="O2" s="119" t="s">
        <v>240</v>
      </c>
      <c r="P2" s="116">
        <v>49</v>
      </c>
      <c r="Q2" s="120">
        <v>44</v>
      </c>
      <c r="R2" s="121">
        <v>17</v>
      </c>
      <c r="S2" s="116">
        <v>132</v>
      </c>
      <c r="T2" s="116">
        <v>140</v>
      </c>
      <c r="U2" s="119" t="s">
        <v>241</v>
      </c>
      <c r="V2" s="116" t="s">
        <v>242</v>
      </c>
      <c r="W2" s="116" t="s">
        <v>65</v>
      </c>
      <c r="X2" s="116" t="s">
        <v>241</v>
      </c>
      <c r="Y2" s="116" t="s">
        <v>241</v>
      </c>
      <c r="Z2" s="116" t="s">
        <v>241</v>
      </c>
      <c r="AA2" s="119" t="s">
        <v>243</v>
      </c>
      <c r="AB2" s="119" t="s">
        <v>244</v>
      </c>
      <c r="AC2" s="119" t="s">
        <v>245</v>
      </c>
      <c r="AD2" s="115"/>
      <c r="AE2" s="115"/>
      <c r="AF2" s="122" t="s">
        <v>246</v>
      </c>
      <c r="AG2" s="123" t="s">
        <v>247</v>
      </c>
      <c r="AH2" s="122" t="s">
        <v>248</v>
      </c>
      <c r="AI2" s="122" t="s">
        <v>249</v>
      </c>
      <c r="AJ2" s="122" t="s">
        <v>250</v>
      </c>
      <c r="AK2" s="124" t="s">
        <v>251</v>
      </c>
      <c r="AL2" s="123" t="s">
        <v>252</v>
      </c>
      <c r="AM2" s="122" t="s">
        <v>253</v>
      </c>
      <c r="AN2" s="122" t="s">
        <v>254</v>
      </c>
      <c r="AO2" s="125">
        <v>30.2</v>
      </c>
      <c r="AP2" s="126">
        <v>0</v>
      </c>
      <c r="AQ2" s="126">
        <v>0</v>
      </c>
      <c r="AR2" s="126">
        <v>0</v>
      </c>
      <c r="AS2" s="127">
        <v>30.2</v>
      </c>
      <c r="AT2" s="127">
        <v>30.2</v>
      </c>
      <c r="AU2" s="127">
        <v>0</v>
      </c>
      <c r="AV2" s="127">
        <v>179</v>
      </c>
      <c r="AW2" s="127">
        <v>149.16666666666669</v>
      </c>
      <c r="AX2" s="128">
        <v>179</v>
      </c>
      <c r="AY2" s="128">
        <v>149.16666666666669</v>
      </c>
      <c r="AZ2" s="129"/>
      <c r="BA2" s="13"/>
      <c r="BB2" s="115"/>
      <c r="BC2" s="118"/>
      <c r="BD2" s="130"/>
      <c r="BE2" s="130"/>
      <c r="BF2" s="131"/>
      <c r="BG2" s="131"/>
      <c r="BH2" s="131"/>
      <c r="BI2" s="132"/>
      <c r="BJ2" s="132"/>
      <c r="BK2" s="133"/>
      <c r="BL2" s="134">
        <v>44742</v>
      </c>
      <c r="BM2" s="135" t="s">
        <v>255</v>
      </c>
      <c r="BN2" s="134">
        <v>44846</v>
      </c>
      <c r="BO2" s="136"/>
      <c r="BP2" s="137"/>
      <c r="BQ2" s="138" t="s">
        <v>256</v>
      </c>
      <c r="BR2" s="138" t="s">
        <v>257</v>
      </c>
    </row>
    <row r="3" spans="1:70" s="139" customFormat="1" x14ac:dyDescent="0.25">
      <c r="A3" s="111">
        <v>2969</v>
      </c>
      <c r="B3" s="112" t="s">
        <v>266</v>
      </c>
      <c r="C3" s="113" t="s">
        <v>267</v>
      </c>
      <c r="D3" s="144" t="s">
        <v>268</v>
      </c>
      <c r="E3" s="144" t="s">
        <v>268</v>
      </c>
      <c r="F3" s="115" t="s">
        <v>234</v>
      </c>
      <c r="G3" s="116" t="s">
        <v>269</v>
      </c>
      <c r="H3" s="117" t="str">
        <f>VLOOKUP(G3,'[1]Conditions e-commerce'!$A$5:$B$1036,2,FALSE)</f>
        <v>R01064</v>
      </c>
      <c r="I3" s="116" t="s">
        <v>270</v>
      </c>
      <c r="J3" s="116" t="s">
        <v>237</v>
      </c>
      <c r="K3" s="116" t="s">
        <v>271</v>
      </c>
      <c r="L3" s="118" t="s">
        <v>272</v>
      </c>
      <c r="M3" s="119" t="s">
        <v>273</v>
      </c>
      <c r="N3" s="119" t="s">
        <v>274</v>
      </c>
      <c r="O3" s="119" t="s">
        <v>274</v>
      </c>
      <c r="P3" s="116">
        <v>52</v>
      </c>
      <c r="Q3" s="120">
        <v>46</v>
      </c>
      <c r="R3" s="121">
        <v>19</v>
      </c>
      <c r="S3" s="116">
        <v>145</v>
      </c>
      <c r="T3" s="116">
        <v>140</v>
      </c>
      <c r="U3" s="119" t="s">
        <v>241</v>
      </c>
      <c r="V3" s="116" t="s">
        <v>239</v>
      </c>
      <c r="W3" s="116" t="s">
        <v>275</v>
      </c>
      <c r="X3" s="116" t="s">
        <v>241</v>
      </c>
      <c r="Y3" s="116" t="s">
        <v>241</v>
      </c>
      <c r="Z3" s="116" t="s">
        <v>250</v>
      </c>
      <c r="AA3" s="119" t="s">
        <v>276</v>
      </c>
      <c r="AB3" s="119" t="s">
        <v>244</v>
      </c>
      <c r="AC3" s="119" t="s">
        <v>245</v>
      </c>
      <c r="AD3" s="115" t="s">
        <v>258</v>
      </c>
      <c r="AE3" s="115" t="s">
        <v>277</v>
      </c>
      <c r="AF3" s="122" t="str">
        <f>VLOOKUP(J3,[1]Tables!$B$25:$C$28,2,FALSE)</f>
        <v>Femme</v>
      </c>
      <c r="AG3" s="123" t="str">
        <f>VLOOKUP(K3,[1]Tables!$B$5:$C$22,2,FALSE)</f>
        <v>Solaire</v>
      </c>
      <c r="AH3" s="122" t="str">
        <f t="shared" ref="AH3" si="0">I3&amp;" - "&amp;L3&amp;" - "&amp;O3</f>
        <v>Paul &amp; Joe - SILENE42 - Ecaille</v>
      </c>
      <c r="AI3" s="122" t="str">
        <f t="shared" ref="AI3" si="1">IF(P3&lt;=43,"Bébé",(IF(P3&lt;=46,"Enfant",(IF(P3&lt;=48,"Adolescent",(IF(P3&lt;=50,"Adulte S",(IF(P3&lt;=55,"Adulte M",(IF(P3&lt;=100,"Adulte L",0)))))))))))</f>
        <v>Adulte M</v>
      </c>
      <c r="AJ3" s="122" t="str">
        <f t="shared" ref="AJ3" si="2">IF(AF3&lt;&gt;"Enfants",IF(Q3&gt;=16,"OUI","NON"),"NON")</f>
        <v>OUI</v>
      </c>
      <c r="AK3" s="124" t="str">
        <f t="shared" ref="AK3" si="3">IF(AG3="Optique","Lunettes de vue "&amp;AF3&amp;" "&amp;AH3&amp;" "&amp;AA3&amp;" : Réservation en ligne - Optic 2000", "Lunettes de soleil "&amp;AF3&amp;" "&amp;AH3&amp;" : Achat en ligne - Optic 2000")</f>
        <v>Lunettes de soleil Femme Paul &amp; Joe - SILENE42 - Ecaille : Achat en ligne - Optic 2000</v>
      </c>
      <c r="AL3" s="123" t="str">
        <f t="shared" ref="AL3" si="4">IF(AG3="Optique","Découvrez nos ➤ Lunettes de vue "&amp;AF3&amp;" "&amp;AH3&amp;" en ligne &amp; chez les opticiens Optic 2000 ✔ Réservez en ligne ⭐ Livraison en magasin !", "Découvrez nos ➤ Lunettes de soleil "&amp;AF3&amp;" "&amp;AH3&amp;" en ligne &amp; chez les opticiens Optic 2000 ✔️ Achat en ligne ⭐ Livraison à domicile ! ⚡ Click &amp; Collect !")</f>
        <v>Découvrez nos ➤ Lunettes de soleil Femme Paul &amp; Joe - SILENE42 - Ecaille en ligne &amp; chez les opticiens Optic 2000 ✔️ Achat en ligne ⭐ Livraison à domicile ! ⚡ Click &amp; Collect !</v>
      </c>
      <c r="AM3" s="122" t="str">
        <f>VLOOKUP(K3,[1]Tables!$B$5:$D$22,3,FALSE)</f>
        <v>90041091 Monture Sol Plast</v>
      </c>
      <c r="AN3" s="122" t="str">
        <f t="shared" ref="AN3" si="5">RIGHT(AM3,5)</f>
        <v>Plast</v>
      </c>
      <c r="AO3" s="125">
        <v>89</v>
      </c>
      <c r="AP3" s="126">
        <f>VLOOKUP(CONCATENATE($G3,$I3,$AG3),'[1]Conditions e-commerce'!$E$1:$H$1036,2,FALSE)</f>
        <v>0.08</v>
      </c>
      <c r="AQ3" s="126">
        <f>VLOOKUP(CONCATENATE($G3,$I3,$AG3),'[1]Conditions e-commerce'!$E$1:$I$1036,3,FALSE)</f>
        <v>7.2999999999999995E-2</v>
      </c>
      <c r="AR3" s="126">
        <f>VLOOKUP(CONCATENATE($G3,$I3,$AG3),'[1]Conditions e-commerce'!$E$1:$I$1036,4,FALSE)</f>
        <v>0.3</v>
      </c>
      <c r="AS3" s="127">
        <f t="shared" ref="AS3" si="6">AO3-(AO3*AR3)</f>
        <v>62.3</v>
      </c>
      <c r="AT3" s="127">
        <f t="shared" ref="AT3" si="7">(AO3-AO3*AP3)-(AO3-AO3*AP3)*AQ3</f>
        <v>75.902760000000001</v>
      </c>
      <c r="AU3" s="127">
        <f t="shared" ref="AU3" si="8">AT3-AS3</f>
        <v>13.602760000000004</v>
      </c>
      <c r="AV3" s="127">
        <f t="shared" ref="AV3" si="9">IF($G3="OPTIC 2OOO","A renseigner manuellement",IF($AG3="Optique",($AO3*2.6),($AO3*1.9)))</f>
        <v>169.1</v>
      </c>
      <c r="AW3" s="127">
        <f t="shared" ref="AW3" si="10">IF(G3="OPTIC 2OOO","A renseigner manuellement",IF(AG3="Optique",(AO3*2.6)/1.2,(AO3*1.9)/1.2))</f>
        <v>140.91666666666666</v>
      </c>
      <c r="AX3" s="128">
        <f t="shared" ref="AX3" si="11">ROUNDUP(AV3,0)</f>
        <v>170</v>
      </c>
      <c r="AY3" s="128">
        <f t="shared" ref="AY3" si="12">AX3/1.2</f>
        <v>141.66666666666669</v>
      </c>
      <c r="AZ3" s="129" t="s">
        <v>259</v>
      </c>
      <c r="BA3" s="13"/>
      <c r="BB3" s="115">
        <v>44753</v>
      </c>
      <c r="BC3" s="118"/>
      <c r="BD3" s="130"/>
      <c r="BE3" s="130">
        <v>44791</v>
      </c>
      <c r="BF3" s="131">
        <v>44812</v>
      </c>
      <c r="BG3" s="131"/>
      <c r="BH3" s="131"/>
      <c r="BI3" s="132"/>
      <c r="BJ3" s="132" t="s">
        <v>278</v>
      </c>
      <c r="BK3" s="133">
        <v>44803</v>
      </c>
      <c r="BL3" s="134">
        <v>44774</v>
      </c>
      <c r="BM3" s="135" t="s">
        <v>279</v>
      </c>
      <c r="BN3" s="134">
        <v>44802</v>
      </c>
      <c r="BO3" s="134">
        <v>44802</v>
      </c>
      <c r="BP3" s="137"/>
      <c r="BQ3" s="138" t="str">
        <f t="shared" ref="BQ3" si="13">IF(AG3="Optique","Lunettes de vue "&amp;AF3&amp;" "&amp;AH3&amp;" | Opticien Lissac", "Lunettes de soleil "&amp;AF3&amp;" "&amp;AH3&amp;" | Opticien Lissac")</f>
        <v>Lunettes de soleil Femme Paul &amp; Joe - SILENE42 - Ecaille | Opticien Lissac</v>
      </c>
      <c r="BR3" s="138" t="str">
        <f t="shared" ref="BR3" si="14">IF(AG3="Optique","Découvrez les Lunettes de vue "&amp;AF3&amp;" "&amp;AH3&amp;" chez les opticiens Lissac ✔️ Venez les essayer en magasin ! ⭐", "Découvrez les Lunettes de soleil "&amp;AF3&amp;" "&amp;AH3&amp;" chez les opticiens Lissac ✔️ Venez les essayer en magasin ! ⭐")</f>
        <v>Découvrez les Lunettes de soleil Femme Paul &amp; Joe - SILENE42 - Ecaille chez les opticiens Lissac ✔️ Venez les essayer en magasin ! ⭐</v>
      </c>
    </row>
  </sheetData>
  <conditionalFormatting sqref="AU1:AV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DB71-FB94-4A70-885D-54A9C54C602C}">
  <dimension ref="A1:BV97"/>
  <sheetViews>
    <sheetView workbookViewId="0"/>
  </sheetViews>
  <sheetFormatPr baseColWidth="10" defaultRowHeight="15" x14ac:dyDescent="0.25"/>
  <cols>
    <col min="1" max="1" width="8.85546875" bestFit="1" customWidth="1"/>
    <col min="2" max="2" width="23.28515625" bestFit="1" customWidth="1"/>
    <col min="3" max="3" width="10.85546875" bestFit="1" customWidth="1"/>
    <col min="4" max="4" width="23.28515625" bestFit="1" customWidth="1"/>
    <col min="5" max="5" width="15" bestFit="1" customWidth="1"/>
    <col min="6" max="6" width="8" bestFit="1" customWidth="1"/>
    <col min="7" max="7" width="9.140625" bestFit="1" customWidth="1"/>
    <col min="8" max="8" width="18.5703125" bestFit="1" customWidth="1"/>
    <col min="9" max="9" width="19.85546875" bestFit="1" customWidth="1"/>
    <col min="10" max="10" width="13.7109375" bestFit="1" customWidth="1"/>
    <col min="11" max="11" width="8" bestFit="1" customWidth="1"/>
    <col min="12" max="13" width="13.7109375" bestFit="1" customWidth="1"/>
    <col min="14" max="14" width="4.5703125" bestFit="1" customWidth="1"/>
    <col min="15" max="15" width="4.7109375" bestFit="1" customWidth="1"/>
    <col min="17" max="17" width="9.85546875" bestFit="1" customWidth="1"/>
    <col min="18" max="18" width="8.5703125" bestFit="1" customWidth="1"/>
    <col min="19" max="19" width="10.140625" bestFit="1" customWidth="1"/>
    <col min="20" max="20" width="10.85546875" bestFit="1" customWidth="1"/>
    <col min="21" max="21" width="11" bestFit="1" customWidth="1"/>
    <col min="22" max="22" width="23" bestFit="1" customWidth="1"/>
    <col min="23" max="23" width="10" bestFit="1" customWidth="1"/>
    <col min="24" max="24" width="10.28515625" bestFit="1" customWidth="1"/>
    <col min="25" max="25" width="10" bestFit="1" customWidth="1"/>
    <col min="26" max="26" width="10.28515625" bestFit="1" customWidth="1"/>
    <col min="28" max="28" width="10.85546875" bestFit="1" customWidth="1"/>
    <col min="29" max="30" width="10.7109375" bestFit="1" customWidth="1"/>
    <col min="31" max="31" width="10.85546875" bestFit="1" customWidth="1"/>
    <col min="32" max="32" width="9.85546875" bestFit="1" customWidth="1"/>
    <col min="33" max="33" width="10.5703125" bestFit="1" customWidth="1"/>
    <col min="34" max="34" width="11.28515625" bestFit="1" customWidth="1"/>
    <col min="35" max="35" width="10.42578125" bestFit="1" customWidth="1"/>
    <col min="36" max="36" width="9" bestFit="1" customWidth="1"/>
    <col min="37" max="38" width="9.5703125" bestFit="1" customWidth="1"/>
    <col min="39" max="39" width="10.5703125" bestFit="1" customWidth="1"/>
    <col min="40" max="40" width="8.85546875" bestFit="1" customWidth="1"/>
    <col min="41" max="41" width="9" bestFit="1" customWidth="1"/>
    <col min="42" max="42" width="9.7109375" bestFit="1" customWidth="1"/>
    <col min="43" max="43" width="10.5703125" bestFit="1" customWidth="1"/>
    <col min="45" max="45" width="10.28515625" bestFit="1" customWidth="1"/>
    <col min="46" max="46" width="10.85546875" bestFit="1" customWidth="1"/>
    <col min="47" max="47" width="8.85546875" bestFit="1" customWidth="1"/>
    <col min="48" max="48" width="11.5703125" bestFit="1" customWidth="1"/>
    <col min="49" max="50" width="10.7109375" bestFit="1" customWidth="1"/>
    <col min="51" max="51" width="11" bestFit="1" customWidth="1"/>
    <col min="52" max="53" width="5.85546875" bestFit="1" customWidth="1"/>
    <col min="54" max="57" width="29.7109375" bestFit="1" customWidth="1"/>
    <col min="58" max="58" width="10.28515625" bestFit="1" customWidth="1"/>
    <col min="61" max="61" width="11" bestFit="1" customWidth="1"/>
    <col min="62" max="62" width="10.42578125" bestFit="1" customWidth="1"/>
    <col min="63" max="64" width="11.28515625" bestFit="1" customWidth="1"/>
    <col min="65" max="65" width="6.42578125" bestFit="1" customWidth="1"/>
    <col min="66" max="66" width="9.140625" bestFit="1" customWidth="1"/>
    <col min="67" max="67" width="6.42578125" bestFit="1" customWidth="1"/>
    <col min="68" max="68" width="7.28515625" bestFit="1" customWidth="1"/>
    <col min="69" max="70" width="9.140625" bestFit="1" customWidth="1"/>
    <col min="71" max="71" width="11" bestFit="1" customWidth="1"/>
    <col min="72" max="72" width="8.28515625" bestFit="1" customWidth="1"/>
    <col min="73" max="73" width="15.5703125" bestFit="1" customWidth="1"/>
    <col min="74" max="74" width="19.7109375" bestFit="1" customWidth="1"/>
  </cols>
  <sheetData>
    <row r="1" spans="1:74" x14ac:dyDescent="0.25">
      <c r="A1" s="149" t="s">
        <v>327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50" t="s">
        <v>328</v>
      </c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1" t="s">
        <v>329</v>
      </c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51"/>
      <c r="BQ1" s="151"/>
      <c r="BR1" s="151"/>
      <c r="BS1" s="151"/>
      <c r="BT1" s="151"/>
      <c r="BU1" s="151"/>
      <c r="BV1" s="151"/>
    </row>
    <row r="2" spans="1:74" ht="144.75" customHeight="1" x14ac:dyDescent="0.25">
      <c r="A2" s="152" t="s">
        <v>0</v>
      </c>
      <c r="B2" s="153" t="s">
        <v>58</v>
      </c>
      <c r="C2" s="152" t="s">
        <v>299</v>
      </c>
      <c r="D2" s="153" t="s">
        <v>300</v>
      </c>
      <c r="E2" s="152" t="s">
        <v>4</v>
      </c>
      <c r="F2" s="152" t="s">
        <v>282</v>
      </c>
      <c r="G2" s="152" t="s">
        <v>283</v>
      </c>
      <c r="H2" s="153" t="s">
        <v>284</v>
      </c>
      <c r="I2" s="152" t="s">
        <v>5</v>
      </c>
      <c r="J2" s="152" t="s">
        <v>6</v>
      </c>
      <c r="K2" s="152" t="s">
        <v>7</v>
      </c>
      <c r="L2" s="152" t="s">
        <v>8</v>
      </c>
      <c r="M2" s="152" t="s">
        <v>9</v>
      </c>
      <c r="N2" s="153" t="s">
        <v>285</v>
      </c>
      <c r="O2" s="153" t="s">
        <v>286</v>
      </c>
      <c r="P2" s="152" t="s">
        <v>301</v>
      </c>
      <c r="Q2" s="152" t="s">
        <v>302</v>
      </c>
      <c r="R2" s="152" t="s">
        <v>10</v>
      </c>
      <c r="S2" s="152" t="s">
        <v>11</v>
      </c>
      <c r="T2" s="152" t="s">
        <v>12</v>
      </c>
      <c r="U2" s="152" t="s">
        <v>303</v>
      </c>
      <c r="V2" s="152" t="s">
        <v>304</v>
      </c>
      <c r="W2" s="152" t="s">
        <v>305</v>
      </c>
      <c r="X2" s="152" t="s">
        <v>287</v>
      </c>
      <c r="Y2" s="152" t="s">
        <v>288</v>
      </c>
      <c r="Z2" s="152" t="s">
        <v>306</v>
      </c>
      <c r="AA2" s="152" t="s">
        <v>291</v>
      </c>
      <c r="AB2" s="152" t="s">
        <v>13</v>
      </c>
      <c r="AC2" s="152" t="s">
        <v>14</v>
      </c>
      <c r="AD2" s="152" t="s">
        <v>15</v>
      </c>
      <c r="AE2" s="152" t="s">
        <v>16</v>
      </c>
      <c r="AF2" s="152" t="s">
        <v>17</v>
      </c>
      <c r="AG2" s="152" t="s">
        <v>18</v>
      </c>
      <c r="AH2" s="152" t="s">
        <v>307</v>
      </c>
      <c r="AI2" s="152" t="s">
        <v>19</v>
      </c>
      <c r="AJ2" s="152" t="s">
        <v>20</v>
      </c>
      <c r="AK2" s="152" t="s">
        <v>308</v>
      </c>
      <c r="AL2" s="152" t="s">
        <v>309</v>
      </c>
      <c r="AM2" s="152" t="s">
        <v>310</v>
      </c>
      <c r="AN2" s="152" t="s">
        <v>311</v>
      </c>
      <c r="AO2" s="152" t="s">
        <v>312</v>
      </c>
      <c r="AP2" s="152" t="s">
        <v>25</v>
      </c>
      <c r="AQ2" s="152" t="s">
        <v>313</v>
      </c>
      <c r="AR2" s="152" t="s">
        <v>314</v>
      </c>
      <c r="AS2" s="152" t="s">
        <v>22</v>
      </c>
      <c r="AT2" s="152" t="s">
        <v>23</v>
      </c>
      <c r="AU2" s="152" t="s">
        <v>24</v>
      </c>
      <c r="AV2" s="152" t="s">
        <v>315</v>
      </c>
      <c r="AW2" s="152" t="s">
        <v>316</v>
      </c>
      <c r="AX2" s="152" t="s">
        <v>317</v>
      </c>
      <c r="AY2" s="152" t="s">
        <v>201</v>
      </c>
      <c r="AZ2" s="152" t="s">
        <v>318</v>
      </c>
      <c r="BA2" s="152" t="s">
        <v>319</v>
      </c>
      <c r="BB2" s="153" t="s">
        <v>296</v>
      </c>
      <c r="BC2" s="153" t="s">
        <v>296</v>
      </c>
      <c r="BD2" s="153" t="s">
        <v>296</v>
      </c>
      <c r="BE2" s="153" t="s">
        <v>296</v>
      </c>
      <c r="BF2" s="152" t="s">
        <v>320</v>
      </c>
      <c r="BG2" s="152" t="s">
        <v>321</v>
      </c>
      <c r="BH2" s="152" t="s">
        <v>322</v>
      </c>
      <c r="BI2" s="152" t="s">
        <v>323</v>
      </c>
      <c r="BJ2" s="152" t="s">
        <v>324</v>
      </c>
      <c r="BK2" s="152" t="s">
        <v>28</v>
      </c>
      <c r="BL2" s="152" t="s">
        <v>29</v>
      </c>
      <c r="BM2" s="152" t="s">
        <v>30</v>
      </c>
      <c r="BN2" s="152" t="s">
        <v>31</v>
      </c>
      <c r="BO2" s="152" t="s">
        <v>32</v>
      </c>
      <c r="BP2" s="152" t="s">
        <v>33</v>
      </c>
      <c r="BQ2" s="152" t="s">
        <v>34</v>
      </c>
      <c r="BR2" s="152" t="s">
        <v>35</v>
      </c>
      <c r="BS2" s="152" t="s">
        <v>297</v>
      </c>
      <c r="BT2" s="152" t="s">
        <v>298</v>
      </c>
      <c r="BU2" s="153" t="s">
        <v>36</v>
      </c>
      <c r="BV2" s="153" t="s">
        <v>37</v>
      </c>
    </row>
    <row r="3" spans="1:74" x14ac:dyDescent="0.25">
      <c r="A3" t="s">
        <v>59</v>
      </c>
      <c r="B3" t="s">
        <v>330</v>
      </c>
      <c r="C3" t="s">
        <v>59</v>
      </c>
      <c r="D3" t="s">
        <v>330</v>
      </c>
      <c r="E3" t="s">
        <v>331</v>
      </c>
      <c r="G3" s="154"/>
      <c r="H3" s="154"/>
      <c r="I3" s="154" t="s">
        <v>332</v>
      </c>
      <c r="J3" s="154" t="s">
        <v>333</v>
      </c>
      <c r="K3" s="154" t="s">
        <v>334</v>
      </c>
      <c r="L3" s="154" t="s">
        <v>333</v>
      </c>
      <c r="M3" s="154" t="s">
        <v>333</v>
      </c>
      <c r="N3" s="154"/>
      <c r="O3" s="154"/>
      <c r="P3" t="s">
        <v>72</v>
      </c>
      <c r="Q3" t="s">
        <v>72</v>
      </c>
      <c r="R3">
        <v>45</v>
      </c>
      <c r="S3">
        <v>17</v>
      </c>
      <c r="T3">
        <v>130</v>
      </c>
      <c r="U3">
        <v>0</v>
      </c>
      <c r="V3" t="s">
        <v>335</v>
      </c>
      <c r="W3" s="154"/>
      <c r="X3" s="154" t="s">
        <v>336</v>
      </c>
      <c r="Y3" s="154" t="s">
        <v>336</v>
      </c>
      <c r="Z3">
        <v>0</v>
      </c>
      <c r="AB3">
        <v>130</v>
      </c>
      <c r="AH3">
        <v>1</v>
      </c>
      <c r="AI3">
        <v>1</v>
      </c>
      <c r="AQ3">
        <v>1</v>
      </c>
      <c r="AS3">
        <v>45</v>
      </c>
      <c r="AU3">
        <v>17</v>
      </c>
      <c r="AV3">
        <v>1</v>
      </c>
      <c r="AW3" s="155">
        <v>45790</v>
      </c>
      <c r="AX3" s="155"/>
      <c r="AY3">
        <v>9003190090</v>
      </c>
      <c r="AZ3" t="s">
        <v>337</v>
      </c>
      <c r="BA3">
        <v>69</v>
      </c>
      <c r="BF3">
        <v>1</v>
      </c>
      <c r="BG3" t="s">
        <v>72</v>
      </c>
      <c r="BH3" t="s">
        <v>72</v>
      </c>
      <c r="BI3" t="s">
        <v>338</v>
      </c>
      <c r="BJ3" t="s">
        <v>72</v>
      </c>
      <c r="BU3" s="155">
        <v>45790</v>
      </c>
      <c r="BV3" s="155"/>
    </row>
    <row r="4" spans="1:74" x14ac:dyDescent="0.25">
      <c r="A4" t="s">
        <v>59</v>
      </c>
      <c r="B4" t="s">
        <v>330</v>
      </c>
      <c r="C4" t="s">
        <v>59</v>
      </c>
      <c r="D4" t="s">
        <v>330</v>
      </c>
      <c r="E4" t="s">
        <v>339</v>
      </c>
      <c r="G4" s="154"/>
      <c r="H4" s="154"/>
      <c r="I4" s="154" t="s">
        <v>340</v>
      </c>
      <c r="J4" s="154" t="s">
        <v>341</v>
      </c>
      <c r="K4" s="154" t="s">
        <v>334</v>
      </c>
      <c r="L4" s="154" t="s">
        <v>341</v>
      </c>
      <c r="M4" s="154" t="s">
        <v>341</v>
      </c>
      <c r="N4" s="154"/>
      <c r="O4" s="154"/>
      <c r="P4" t="s">
        <v>72</v>
      </c>
      <c r="Q4" t="s">
        <v>72</v>
      </c>
      <c r="R4">
        <v>45</v>
      </c>
      <c r="S4">
        <v>17</v>
      </c>
      <c r="T4">
        <v>130</v>
      </c>
      <c r="U4">
        <v>0</v>
      </c>
      <c r="V4" t="s">
        <v>335</v>
      </c>
      <c r="W4" s="154"/>
      <c r="X4" s="154" t="s">
        <v>342</v>
      </c>
      <c r="Y4" s="154" t="s">
        <v>342</v>
      </c>
      <c r="Z4">
        <v>0</v>
      </c>
      <c r="AB4">
        <v>130</v>
      </c>
      <c r="AH4">
        <v>1</v>
      </c>
      <c r="AI4">
        <v>1</v>
      </c>
      <c r="AQ4">
        <v>1</v>
      </c>
      <c r="AS4">
        <v>45</v>
      </c>
      <c r="AU4">
        <v>17</v>
      </c>
      <c r="AV4">
        <v>1</v>
      </c>
      <c r="AW4" s="155">
        <v>45790</v>
      </c>
      <c r="AX4" s="155"/>
      <c r="AY4">
        <v>9003190090</v>
      </c>
      <c r="AZ4" t="s">
        <v>337</v>
      </c>
      <c r="BA4">
        <v>69</v>
      </c>
      <c r="BF4">
        <v>1</v>
      </c>
      <c r="BG4" t="s">
        <v>72</v>
      </c>
      <c r="BH4" t="s">
        <v>72</v>
      </c>
      <c r="BI4" t="s">
        <v>338</v>
      </c>
      <c r="BJ4" t="s">
        <v>72</v>
      </c>
      <c r="BU4" s="155">
        <v>45790</v>
      </c>
      <c r="BV4" s="155"/>
    </row>
    <row r="5" spans="1:74" x14ac:dyDescent="0.25">
      <c r="A5" t="s">
        <v>59</v>
      </c>
      <c r="B5" t="s">
        <v>330</v>
      </c>
      <c r="C5" t="s">
        <v>59</v>
      </c>
      <c r="D5" t="s">
        <v>330</v>
      </c>
      <c r="E5" t="s">
        <v>343</v>
      </c>
      <c r="G5" s="154"/>
      <c r="H5" s="154"/>
      <c r="I5" s="154" t="s">
        <v>344</v>
      </c>
      <c r="J5" s="154" t="s">
        <v>345</v>
      </c>
      <c r="K5" s="154" t="s">
        <v>346</v>
      </c>
      <c r="L5" s="154" t="s">
        <v>345</v>
      </c>
      <c r="M5" s="154" t="s">
        <v>345</v>
      </c>
      <c r="N5" s="154"/>
      <c r="O5" s="154"/>
      <c r="P5" t="s">
        <v>72</v>
      </c>
      <c r="Q5" t="s">
        <v>72</v>
      </c>
      <c r="R5">
        <v>47</v>
      </c>
      <c r="S5">
        <v>16</v>
      </c>
      <c r="T5">
        <v>130</v>
      </c>
      <c r="U5">
        <v>0</v>
      </c>
      <c r="V5" t="s">
        <v>335</v>
      </c>
      <c r="W5" s="154"/>
      <c r="X5" s="154" t="s">
        <v>347</v>
      </c>
      <c r="Y5" s="154" t="s">
        <v>347</v>
      </c>
      <c r="Z5">
        <v>0</v>
      </c>
      <c r="AB5">
        <v>130</v>
      </c>
      <c r="AH5">
        <v>1</v>
      </c>
      <c r="AI5">
        <v>1</v>
      </c>
      <c r="AQ5">
        <v>1</v>
      </c>
      <c r="AS5">
        <v>47</v>
      </c>
      <c r="AU5">
        <v>16</v>
      </c>
      <c r="AV5">
        <v>1</v>
      </c>
      <c r="AW5" s="155">
        <v>45790</v>
      </c>
      <c r="AX5" s="155"/>
      <c r="AY5">
        <v>9003190090</v>
      </c>
      <c r="AZ5" t="s">
        <v>348</v>
      </c>
      <c r="BA5">
        <v>99</v>
      </c>
      <c r="BF5">
        <v>1</v>
      </c>
      <c r="BG5" t="s">
        <v>72</v>
      </c>
      <c r="BH5" t="s">
        <v>72</v>
      </c>
      <c r="BI5" t="s">
        <v>338</v>
      </c>
      <c r="BJ5" t="s">
        <v>72</v>
      </c>
      <c r="BU5" s="155">
        <v>45790</v>
      </c>
      <c r="BV5" s="155"/>
    </row>
    <row r="6" spans="1:74" x14ac:dyDescent="0.25">
      <c r="A6" t="s">
        <v>59</v>
      </c>
      <c r="B6" t="s">
        <v>330</v>
      </c>
      <c r="C6" t="s">
        <v>59</v>
      </c>
      <c r="D6" t="s">
        <v>330</v>
      </c>
      <c r="E6" t="s">
        <v>349</v>
      </c>
      <c r="G6" s="154"/>
      <c r="H6" s="154"/>
      <c r="I6" s="154" t="s">
        <v>350</v>
      </c>
      <c r="J6" s="154" t="s">
        <v>351</v>
      </c>
      <c r="K6" s="154" t="s">
        <v>346</v>
      </c>
      <c r="L6" s="154" t="s">
        <v>351</v>
      </c>
      <c r="M6" s="154" t="s">
        <v>351</v>
      </c>
      <c r="N6" s="154"/>
      <c r="O6" s="154"/>
      <c r="P6" t="s">
        <v>72</v>
      </c>
      <c r="Q6" t="s">
        <v>72</v>
      </c>
      <c r="R6">
        <v>47</v>
      </c>
      <c r="S6">
        <v>16</v>
      </c>
      <c r="T6">
        <v>130</v>
      </c>
      <c r="U6">
        <v>0</v>
      </c>
      <c r="V6" t="s">
        <v>335</v>
      </c>
      <c r="W6" s="154"/>
      <c r="X6" s="154" t="s">
        <v>352</v>
      </c>
      <c r="Y6" s="154" t="s">
        <v>352</v>
      </c>
      <c r="Z6">
        <v>0</v>
      </c>
      <c r="AB6">
        <v>130</v>
      </c>
      <c r="AH6">
        <v>1</v>
      </c>
      <c r="AI6">
        <v>1</v>
      </c>
      <c r="AQ6">
        <v>1</v>
      </c>
      <c r="AS6">
        <v>47</v>
      </c>
      <c r="AU6">
        <v>16</v>
      </c>
      <c r="AV6">
        <v>1</v>
      </c>
      <c r="AW6" s="155">
        <v>45790</v>
      </c>
      <c r="AX6" s="155"/>
      <c r="AY6">
        <v>9003190090</v>
      </c>
      <c r="AZ6" t="s">
        <v>348</v>
      </c>
      <c r="BA6">
        <v>99</v>
      </c>
      <c r="BF6">
        <v>1</v>
      </c>
      <c r="BG6" t="s">
        <v>72</v>
      </c>
      <c r="BH6" t="s">
        <v>72</v>
      </c>
      <c r="BI6" t="s">
        <v>338</v>
      </c>
      <c r="BJ6" t="s">
        <v>72</v>
      </c>
      <c r="BU6" s="155">
        <v>45790</v>
      </c>
      <c r="BV6" s="155"/>
    </row>
    <row r="7" spans="1:74" x14ac:dyDescent="0.25">
      <c r="A7" t="s">
        <v>59</v>
      </c>
      <c r="B7" t="s">
        <v>330</v>
      </c>
      <c r="C7" t="s">
        <v>59</v>
      </c>
      <c r="D7" t="s">
        <v>330</v>
      </c>
      <c r="E7" t="s">
        <v>353</v>
      </c>
      <c r="G7" s="154"/>
      <c r="H7" s="154"/>
      <c r="I7" s="154" t="s">
        <v>354</v>
      </c>
      <c r="J7" s="154" t="s">
        <v>355</v>
      </c>
      <c r="K7" s="154" t="s">
        <v>356</v>
      </c>
      <c r="L7" s="154" t="s">
        <v>355</v>
      </c>
      <c r="M7" s="154" t="s">
        <v>355</v>
      </c>
      <c r="N7" s="154"/>
      <c r="O7" s="154"/>
      <c r="P7" t="s">
        <v>72</v>
      </c>
      <c r="Q7" t="s">
        <v>72</v>
      </c>
      <c r="R7">
        <v>45</v>
      </c>
      <c r="S7">
        <v>17</v>
      </c>
      <c r="T7">
        <v>125</v>
      </c>
      <c r="U7">
        <v>0</v>
      </c>
      <c r="V7" t="s">
        <v>335</v>
      </c>
      <c r="W7" s="154"/>
      <c r="X7" s="154" t="s">
        <v>357</v>
      </c>
      <c r="Y7" s="154" t="s">
        <v>357</v>
      </c>
      <c r="Z7">
        <v>0</v>
      </c>
      <c r="AB7">
        <v>125</v>
      </c>
      <c r="AH7">
        <v>1</v>
      </c>
      <c r="AI7">
        <v>1</v>
      </c>
      <c r="AQ7">
        <v>1</v>
      </c>
      <c r="AS7">
        <v>45</v>
      </c>
      <c r="AU7">
        <v>17</v>
      </c>
      <c r="AV7">
        <v>1</v>
      </c>
      <c r="AW7" s="155">
        <v>45790</v>
      </c>
      <c r="AX7" s="155"/>
      <c r="AY7">
        <v>9003190090</v>
      </c>
      <c r="AZ7" t="s">
        <v>348</v>
      </c>
      <c r="BA7">
        <v>99</v>
      </c>
      <c r="BF7">
        <v>1</v>
      </c>
      <c r="BG7" t="s">
        <v>358</v>
      </c>
      <c r="BH7" t="s">
        <v>358</v>
      </c>
      <c r="BI7" t="s">
        <v>338</v>
      </c>
      <c r="BJ7" t="s">
        <v>72</v>
      </c>
      <c r="BU7" s="155">
        <v>45790</v>
      </c>
      <c r="BV7" s="155"/>
    </row>
    <row r="8" spans="1:74" x14ac:dyDescent="0.25">
      <c r="A8" t="s">
        <v>59</v>
      </c>
      <c r="B8" t="s">
        <v>330</v>
      </c>
      <c r="C8" t="s">
        <v>59</v>
      </c>
      <c r="D8" t="s">
        <v>330</v>
      </c>
      <c r="E8" t="s">
        <v>359</v>
      </c>
      <c r="G8" s="154"/>
      <c r="H8" s="154"/>
      <c r="I8" s="154" t="s">
        <v>360</v>
      </c>
      <c r="J8" s="154" t="s">
        <v>361</v>
      </c>
      <c r="K8" s="154" t="s">
        <v>356</v>
      </c>
      <c r="L8" s="154" t="s">
        <v>361</v>
      </c>
      <c r="M8" s="154" t="s">
        <v>361</v>
      </c>
      <c r="N8" s="154"/>
      <c r="O8" s="154"/>
      <c r="P8" t="s">
        <v>72</v>
      </c>
      <c r="Q8" t="s">
        <v>72</v>
      </c>
      <c r="R8">
        <v>45</v>
      </c>
      <c r="S8">
        <v>17</v>
      </c>
      <c r="T8">
        <v>125</v>
      </c>
      <c r="U8">
        <v>0</v>
      </c>
      <c r="V8" t="s">
        <v>335</v>
      </c>
      <c r="W8" s="154"/>
      <c r="X8" s="154" t="s">
        <v>352</v>
      </c>
      <c r="Y8" s="154" t="s">
        <v>352</v>
      </c>
      <c r="Z8">
        <v>0</v>
      </c>
      <c r="AB8">
        <v>125</v>
      </c>
      <c r="AH8">
        <v>1</v>
      </c>
      <c r="AI8">
        <v>1</v>
      </c>
      <c r="AQ8">
        <v>1</v>
      </c>
      <c r="AS8">
        <v>45</v>
      </c>
      <c r="AU8">
        <v>17</v>
      </c>
      <c r="AV8">
        <v>1</v>
      </c>
      <c r="AW8" s="155">
        <v>45790</v>
      </c>
      <c r="AX8" s="155"/>
      <c r="AY8">
        <v>9003190090</v>
      </c>
      <c r="AZ8" t="s">
        <v>348</v>
      </c>
      <c r="BA8">
        <v>99</v>
      </c>
      <c r="BF8">
        <v>1</v>
      </c>
      <c r="BG8" t="s">
        <v>358</v>
      </c>
      <c r="BH8" t="s">
        <v>358</v>
      </c>
      <c r="BI8" t="s">
        <v>338</v>
      </c>
      <c r="BJ8" t="s">
        <v>72</v>
      </c>
      <c r="BU8" s="155">
        <v>45790</v>
      </c>
      <c r="BV8" s="155"/>
    </row>
    <row r="9" spans="1:74" x14ac:dyDescent="0.25">
      <c r="A9" t="s">
        <v>59</v>
      </c>
      <c r="B9" t="s">
        <v>330</v>
      </c>
      <c r="C9" t="s">
        <v>59</v>
      </c>
      <c r="D9" t="s">
        <v>330</v>
      </c>
      <c r="E9" t="s">
        <v>362</v>
      </c>
      <c r="G9" s="154"/>
      <c r="H9" s="154"/>
      <c r="I9" s="154" t="s">
        <v>363</v>
      </c>
      <c r="J9" s="154" t="s">
        <v>364</v>
      </c>
      <c r="K9" s="154" t="s">
        <v>365</v>
      </c>
      <c r="L9" s="154" t="s">
        <v>364</v>
      </c>
      <c r="M9" s="154" t="s">
        <v>364</v>
      </c>
      <c r="N9" s="154"/>
      <c r="O9" s="154"/>
      <c r="P9" t="s">
        <v>72</v>
      </c>
      <c r="Q9" t="s">
        <v>72</v>
      </c>
      <c r="R9">
        <v>44</v>
      </c>
      <c r="S9">
        <v>15</v>
      </c>
      <c r="T9">
        <v>125</v>
      </c>
      <c r="U9">
        <v>0</v>
      </c>
      <c r="V9" t="s">
        <v>335</v>
      </c>
      <c r="W9" s="154"/>
      <c r="X9" s="154" t="s">
        <v>347</v>
      </c>
      <c r="Y9" s="154" t="s">
        <v>347</v>
      </c>
      <c r="Z9">
        <v>0</v>
      </c>
      <c r="AB9">
        <v>125</v>
      </c>
      <c r="AH9">
        <v>1</v>
      </c>
      <c r="AI9">
        <v>1</v>
      </c>
      <c r="AQ9">
        <v>1</v>
      </c>
      <c r="AS9">
        <v>44</v>
      </c>
      <c r="AU9">
        <v>15</v>
      </c>
      <c r="AV9">
        <v>1</v>
      </c>
      <c r="AW9" s="155">
        <v>45790</v>
      </c>
      <c r="AX9" s="155"/>
      <c r="AY9">
        <v>9003190090</v>
      </c>
      <c r="AZ9" t="s">
        <v>348</v>
      </c>
      <c r="BA9">
        <v>99</v>
      </c>
      <c r="BF9">
        <v>1</v>
      </c>
      <c r="BG9" t="s">
        <v>72</v>
      </c>
      <c r="BH9" t="s">
        <v>72</v>
      </c>
      <c r="BI9" t="s">
        <v>338</v>
      </c>
      <c r="BJ9" t="s">
        <v>72</v>
      </c>
      <c r="BU9" s="155">
        <v>45790</v>
      </c>
      <c r="BV9" s="155"/>
    </row>
    <row r="10" spans="1:74" x14ac:dyDescent="0.25">
      <c r="A10" t="s">
        <v>59</v>
      </c>
      <c r="B10" t="s">
        <v>330</v>
      </c>
      <c r="C10" t="s">
        <v>59</v>
      </c>
      <c r="D10" t="s">
        <v>330</v>
      </c>
      <c r="E10" t="s">
        <v>366</v>
      </c>
      <c r="G10" s="154"/>
      <c r="H10" s="154"/>
      <c r="I10" s="154" t="s">
        <v>367</v>
      </c>
      <c r="J10" s="154" t="s">
        <v>368</v>
      </c>
      <c r="K10" s="154" t="s">
        <v>365</v>
      </c>
      <c r="L10" s="154" t="s">
        <v>368</v>
      </c>
      <c r="M10" s="154" t="s">
        <v>368</v>
      </c>
      <c r="N10" s="154"/>
      <c r="O10" s="154"/>
      <c r="P10" t="s">
        <v>72</v>
      </c>
      <c r="Q10" t="s">
        <v>72</v>
      </c>
      <c r="R10">
        <v>44</v>
      </c>
      <c r="S10">
        <v>15</v>
      </c>
      <c r="T10">
        <v>125</v>
      </c>
      <c r="U10">
        <v>0</v>
      </c>
      <c r="V10" t="s">
        <v>335</v>
      </c>
      <c r="W10" s="154"/>
      <c r="X10" s="154" t="s">
        <v>336</v>
      </c>
      <c r="Y10" s="154" t="s">
        <v>336</v>
      </c>
      <c r="Z10">
        <v>0</v>
      </c>
      <c r="AB10">
        <v>125</v>
      </c>
      <c r="AH10">
        <v>1</v>
      </c>
      <c r="AI10">
        <v>1</v>
      </c>
      <c r="AQ10">
        <v>1</v>
      </c>
      <c r="AS10">
        <v>44</v>
      </c>
      <c r="AU10">
        <v>15</v>
      </c>
      <c r="AV10">
        <v>1</v>
      </c>
      <c r="AW10" s="155">
        <v>45790</v>
      </c>
      <c r="AX10" s="155"/>
      <c r="AY10">
        <v>9003190090</v>
      </c>
      <c r="AZ10" t="s">
        <v>348</v>
      </c>
      <c r="BA10">
        <v>99</v>
      </c>
      <c r="BF10">
        <v>1</v>
      </c>
      <c r="BG10" t="s">
        <v>72</v>
      </c>
      <c r="BH10" t="s">
        <v>72</v>
      </c>
      <c r="BI10" t="s">
        <v>338</v>
      </c>
      <c r="BJ10" t="s">
        <v>72</v>
      </c>
      <c r="BU10" s="155">
        <v>45790</v>
      </c>
      <c r="BV10" s="155"/>
    </row>
    <row r="11" spans="1:74" x14ac:dyDescent="0.25">
      <c r="A11" t="s">
        <v>59</v>
      </c>
      <c r="B11" t="s">
        <v>330</v>
      </c>
      <c r="C11" t="s">
        <v>59</v>
      </c>
      <c r="D11" t="s">
        <v>330</v>
      </c>
      <c r="E11" t="s">
        <v>369</v>
      </c>
      <c r="G11" s="154"/>
      <c r="H11" s="154"/>
      <c r="I11" s="154" t="s">
        <v>370</v>
      </c>
      <c r="J11" s="154" t="s">
        <v>371</v>
      </c>
      <c r="K11" s="154" t="s">
        <v>372</v>
      </c>
      <c r="L11" s="154" t="s">
        <v>371</v>
      </c>
      <c r="M11" s="154" t="s">
        <v>371</v>
      </c>
      <c r="N11" s="154"/>
      <c r="O11" s="154"/>
      <c r="P11" t="s">
        <v>72</v>
      </c>
      <c r="Q11" t="s">
        <v>72</v>
      </c>
      <c r="R11">
        <v>46</v>
      </c>
      <c r="S11">
        <v>15</v>
      </c>
      <c r="T11">
        <v>125</v>
      </c>
      <c r="U11">
        <v>0</v>
      </c>
      <c r="V11" t="s">
        <v>335</v>
      </c>
      <c r="W11" s="154"/>
      <c r="X11" s="154" t="s">
        <v>347</v>
      </c>
      <c r="Y11" s="154" t="s">
        <v>347</v>
      </c>
      <c r="Z11">
        <v>0</v>
      </c>
      <c r="AB11">
        <v>125</v>
      </c>
      <c r="AH11">
        <v>1</v>
      </c>
      <c r="AI11">
        <v>1</v>
      </c>
      <c r="AQ11">
        <v>1</v>
      </c>
      <c r="AS11">
        <v>46</v>
      </c>
      <c r="AU11">
        <v>15</v>
      </c>
      <c r="AV11">
        <v>1</v>
      </c>
      <c r="AW11" s="155">
        <v>45790</v>
      </c>
      <c r="AX11" s="155"/>
      <c r="AY11">
        <v>9003190090</v>
      </c>
      <c r="AZ11" t="s">
        <v>373</v>
      </c>
      <c r="BA11">
        <v>129</v>
      </c>
      <c r="BF11">
        <v>1</v>
      </c>
      <c r="BG11" t="s">
        <v>72</v>
      </c>
      <c r="BH11" t="s">
        <v>72</v>
      </c>
      <c r="BI11" t="s">
        <v>338</v>
      </c>
      <c r="BJ11" t="s">
        <v>72</v>
      </c>
      <c r="BU11" s="155">
        <v>45790</v>
      </c>
      <c r="BV11" s="155"/>
    </row>
    <row r="12" spans="1:74" x14ac:dyDescent="0.25">
      <c r="A12" t="s">
        <v>59</v>
      </c>
      <c r="B12" t="s">
        <v>330</v>
      </c>
      <c r="C12" t="s">
        <v>59</v>
      </c>
      <c r="D12" t="s">
        <v>330</v>
      </c>
      <c r="E12" t="s">
        <v>374</v>
      </c>
      <c r="G12" s="154"/>
      <c r="H12" s="154"/>
      <c r="I12" s="154" t="s">
        <v>375</v>
      </c>
      <c r="J12" s="154" t="s">
        <v>376</v>
      </c>
      <c r="K12" s="154" t="s">
        <v>372</v>
      </c>
      <c r="L12" s="154" t="s">
        <v>376</v>
      </c>
      <c r="M12" s="154" t="s">
        <v>376</v>
      </c>
      <c r="N12" s="154"/>
      <c r="O12" s="154"/>
      <c r="P12" t="s">
        <v>72</v>
      </c>
      <c r="Q12" t="s">
        <v>72</v>
      </c>
      <c r="R12">
        <v>46</v>
      </c>
      <c r="S12">
        <v>15</v>
      </c>
      <c r="T12">
        <v>125</v>
      </c>
      <c r="U12">
        <v>0</v>
      </c>
      <c r="V12" t="s">
        <v>335</v>
      </c>
      <c r="W12" s="154"/>
      <c r="X12" s="154" t="s">
        <v>352</v>
      </c>
      <c r="Y12" s="154" t="s">
        <v>352</v>
      </c>
      <c r="Z12">
        <v>0</v>
      </c>
      <c r="AB12">
        <v>125</v>
      </c>
      <c r="AH12">
        <v>1</v>
      </c>
      <c r="AI12">
        <v>1</v>
      </c>
      <c r="AQ12">
        <v>1</v>
      </c>
      <c r="AS12">
        <v>46</v>
      </c>
      <c r="AU12">
        <v>15</v>
      </c>
      <c r="AV12">
        <v>1</v>
      </c>
      <c r="AW12" s="155">
        <v>45790</v>
      </c>
      <c r="AX12" s="155"/>
      <c r="AY12">
        <v>9003190090</v>
      </c>
      <c r="AZ12" t="s">
        <v>373</v>
      </c>
      <c r="BA12">
        <v>129</v>
      </c>
      <c r="BF12">
        <v>1</v>
      </c>
      <c r="BG12" t="s">
        <v>72</v>
      </c>
      <c r="BH12" t="s">
        <v>72</v>
      </c>
      <c r="BI12" t="s">
        <v>338</v>
      </c>
      <c r="BJ12" t="s">
        <v>72</v>
      </c>
      <c r="BU12" s="155">
        <v>45790</v>
      </c>
      <c r="BV12" s="155"/>
    </row>
    <row r="13" spans="1:74" x14ac:dyDescent="0.25">
      <c r="A13" t="s">
        <v>59</v>
      </c>
      <c r="B13" t="s">
        <v>330</v>
      </c>
      <c r="C13" t="s">
        <v>59</v>
      </c>
      <c r="D13" t="s">
        <v>330</v>
      </c>
      <c r="E13" t="s">
        <v>377</v>
      </c>
      <c r="G13" s="154"/>
      <c r="H13" s="154"/>
      <c r="I13" s="154" t="s">
        <v>378</v>
      </c>
      <c r="J13" s="154" t="s">
        <v>379</v>
      </c>
      <c r="K13" s="154" t="s">
        <v>380</v>
      </c>
      <c r="L13" s="154" t="s">
        <v>379</v>
      </c>
      <c r="M13" s="154" t="s">
        <v>379</v>
      </c>
      <c r="N13" s="154"/>
      <c r="O13" s="154"/>
      <c r="P13" t="s">
        <v>72</v>
      </c>
      <c r="Q13" t="s">
        <v>72</v>
      </c>
      <c r="R13">
        <v>46</v>
      </c>
      <c r="S13">
        <v>17</v>
      </c>
      <c r="T13">
        <v>125</v>
      </c>
      <c r="U13">
        <v>0</v>
      </c>
      <c r="V13" t="s">
        <v>335</v>
      </c>
      <c r="W13" s="154"/>
      <c r="X13" s="154" t="s">
        <v>352</v>
      </c>
      <c r="Y13" s="154" t="s">
        <v>352</v>
      </c>
      <c r="Z13">
        <v>0</v>
      </c>
      <c r="AB13">
        <v>125</v>
      </c>
      <c r="AH13">
        <v>1</v>
      </c>
      <c r="AI13">
        <v>1</v>
      </c>
      <c r="AQ13">
        <v>1</v>
      </c>
      <c r="AS13">
        <v>46</v>
      </c>
      <c r="AU13">
        <v>17</v>
      </c>
      <c r="AV13">
        <v>1</v>
      </c>
      <c r="AW13" s="155">
        <v>45790</v>
      </c>
      <c r="AX13" s="155"/>
      <c r="AY13">
        <v>9003190090</v>
      </c>
      <c r="AZ13" t="s">
        <v>373</v>
      </c>
      <c r="BA13">
        <v>129</v>
      </c>
      <c r="BF13">
        <v>1</v>
      </c>
      <c r="BG13" t="s">
        <v>72</v>
      </c>
      <c r="BH13" t="s">
        <v>72</v>
      </c>
      <c r="BI13" t="s">
        <v>338</v>
      </c>
      <c r="BJ13" t="s">
        <v>72</v>
      </c>
      <c r="BU13" s="155">
        <v>45790</v>
      </c>
      <c r="BV13" s="155"/>
    </row>
    <row r="14" spans="1:74" x14ac:dyDescent="0.25">
      <c r="A14" t="s">
        <v>59</v>
      </c>
      <c r="B14" t="s">
        <v>330</v>
      </c>
      <c r="C14" t="s">
        <v>59</v>
      </c>
      <c r="D14" t="s">
        <v>330</v>
      </c>
      <c r="E14" t="s">
        <v>381</v>
      </c>
      <c r="G14" s="154"/>
      <c r="H14" s="154"/>
      <c r="I14" s="154" t="s">
        <v>382</v>
      </c>
      <c r="J14" s="154" t="s">
        <v>383</v>
      </c>
      <c r="K14" s="154" t="s">
        <v>380</v>
      </c>
      <c r="L14" s="154" t="s">
        <v>383</v>
      </c>
      <c r="M14" s="154" t="s">
        <v>383</v>
      </c>
      <c r="N14" s="154"/>
      <c r="O14" s="154"/>
      <c r="P14" t="s">
        <v>72</v>
      </c>
      <c r="Q14" t="s">
        <v>72</v>
      </c>
      <c r="R14">
        <v>46</v>
      </c>
      <c r="S14">
        <v>17</v>
      </c>
      <c r="T14">
        <v>125</v>
      </c>
      <c r="U14">
        <v>0</v>
      </c>
      <c r="V14" t="s">
        <v>335</v>
      </c>
      <c r="W14" s="154"/>
      <c r="X14" s="154" t="s">
        <v>384</v>
      </c>
      <c r="Y14" s="154" t="s">
        <v>384</v>
      </c>
      <c r="Z14">
        <v>0</v>
      </c>
      <c r="AB14">
        <v>125</v>
      </c>
      <c r="AH14">
        <v>1</v>
      </c>
      <c r="AI14">
        <v>1</v>
      </c>
      <c r="AQ14">
        <v>1</v>
      </c>
      <c r="AS14">
        <v>46</v>
      </c>
      <c r="AU14">
        <v>17</v>
      </c>
      <c r="AV14">
        <v>1</v>
      </c>
      <c r="AW14" s="155">
        <v>45790</v>
      </c>
      <c r="AX14" s="155"/>
      <c r="AY14">
        <v>9003190090</v>
      </c>
      <c r="AZ14" t="s">
        <v>373</v>
      </c>
      <c r="BA14">
        <v>129</v>
      </c>
      <c r="BF14">
        <v>1</v>
      </c>
      <c r="BG14" t="s">
        <v>72</v>
      </c>
      <c r="BH14" t="s">
        <v>72</v>
      </c>
      <c r="BI14" t="s">
        <v>338</v>
      </c>
      <c r="BJ14" t="s">
        <v>72</v>
      </c>
      <c r="BU14" s="155">
        <v>45790</v>
      </c>
      <c r="BV14" s="155"/>
    </row>
    <row r="15" spans="1:74" x14ac:dyDescent="0.25">
      <c r="A15" t="s">
        <v>59</v>
      </c>
      <c r="B15" t="s">
        <v>330</v>
      </c>
      <c r="C15" t="s">
        <v>59</v>
      </c>
      <c r="D15" t="s">
        <v>330</v>
      </c>
      <c r="E15" t="s">
        <v>385</v>
      </c>
      <c r="G15" s="154"/>
      <c r="H15" s="154"/>
      <c r="I15" s="154" t="s">
        <v>386</v>
      </c>
      <c r="J15" s="154" t="s">
        <v>387</v>
      </c>
      <c r="K15" s="154" t="s">
        <v>388</v>
      </c>
      <c r="L15" s="154" t="s">
        <v>387</v>
      </c>
      <c r="M15" s="154" t="s">
        <v>387</v>
      </c>
      <c r="N15" s="154"/>
      <c r="O15" s="154"/>
      <c r="P15" t="s">
        <v>72</v>
      </c>
      <c r="Q15" t="s">
        <v>72</v>
      </c>
      <c r="R15">
        <v>45</v>
      </c>
      <c r="S15">
        <v>17</v>
      </c>
      <c r="T15">
        <v>130</v>
      </c>
      <c r="U15">
        <v>0</v>
      </c>
      <c r="V15" t="s">
        <v>335</v>
      </c>
      <c r="W15" s="154"/>
      <c r="X15" s="154" t="s">
        <v>389</v>
      </c>
      <c r="Y15" s="154" t="s">
        <v>389</v>
      </c>
      <c r="Z15">
        <v>0</v>
      </c>
      <c r="AB15">
        <v>130</v>
      </c>
      <c r="AH15">
        <v>1</v>
      </c>
      <c r="AI15">
        <v>1</v>
      </c>
      <c r="AQ15">
        <v>1</v>
      </c>
      <c r="AS15">
        <v>45</v>
      </c>
      <c r="AU15">
        <v>17</v>
      </c>
      <c r="AV15">
        <v>1</v>
      </c>
      <c r="AW15" s="155">
        <v>45790</v>
      </c>
      <c r="AX15" s="155"/>
      <c r="AY15">
        <v>9003190090</v>
      </c>
      <c r="AZ15" t="s">
        <v>337</v>
      </c>
      <c r="BA15">
        <v>69</v>
      </c>
      <c r="BF15">
        <v>1</v>
      </c>
      <c r="BG15" t="s">
        <v>72</v>
      </c>
      <c r="BH15" t="s">
        <v>72</v>
      </c>
      <c r="BI15" t="s">
        <v>338</v>
      </c>
      <c r="BJ15" t="s">
        <v>72</v>
      </c>
      <c r="BU15" s="155">
        <v>45790</v>
      </c>
      <c r="BV15" s="155"/>
    </row>
    <row r="16" spans="1:74" x14ac:dyDescent="0.25">
      <c r="A16" t="s">
        <v>59</v>
      </c>
      <c r="B16" t="s">
        <v>330</v>
      </c>
      <c r="C16" t="s">
        <v>59</v>
      </c>
      <c r="D16" t="s">
        <v>330</v>
      </c>
      <c r="E16" t="s">
        <v>390</v>
      </c>
      <c r="G16" s="154"/>
      <c r="H16" s="154"/>
      <c r="I16" s="154" t="s">
        <v>391</v>
      </c>
      <c r="J16" s="154" t="s">
        <v>392</v>
      </c>
      <c r="K16" s="154" t="s">
        <v>388</v>
      </c>
      <c r="L16" s="154" t="s">
        <v>392</v>
      </c>
      <c r="M16" s="154" t="s">
        <v>392</v>
      </c>
      <c r="N16" s="154"/>
      <c r="O16" s="154"/>
      <c r="P16" t="s">
        <v>72</v>
      </c>
      <c r="Q16" t="s">
        <v>72</v>
      </c>
      <c r="R16">
        <v>45</v>
      </c>
      <c r="S16">
        <v>17</v>
      </c>
      <c r="T16">
        <v>130</v>
      </c>
      <c r="U16">
        <v>0</v>
      </c>
      <c r="V16" t="s">
        <v>335</v>
      </c>
      <c r="W16" s="154"/>
      <c r="X16" s="154" t="s">
        <v>393</v>
      </c>
      <c r="Y16" s="154" t="s">
        <v>393</v>
      </c>
      <c r="Z16">
        <v>0</v>
      </c>
      <c r="AB16">
        <v>130</v>
      </c>
      <c r="AH16">
        <v>1</v>
      </c>
      <c r="AI16">
        <v>1</v>
      </c>
      <c r="AQ16">
        <v>1</v>
      </c>
      <c r="AS16">
        <v>45</v>
      </c>
      <c r="AU16">
        <v>17</v>
      </c>
      <c r="AV16">
        <v>1</v>
      </c>
      <c r="AW16" s="155">
        <v>45790</v>
      </c>
      <c r="AX16" s="155"/>
      <c r="AY16">
        <v>9003190090</v>
      </c>
      <c r="AZ16" t="s">
        <v>337</v>
      </c>
      <c r="BA16">
        <v>69</v>
      </c>
      <c r="BF16">
        <v>1</v>
      </c>
      <c r="BG16" t="s">
        <v>72</v>
      </c>
      <c r="BH16" t="s">
        <v>72</v>
      </c>
      <c r="BI16" t="s">
        <v>338</v>
      </c>
      <c r="BJ16" t="s">
        <v>72</v>
      </c>
      <c r="BU16" s="155">
        <v>45790</v>
      </c>
      <c r="BV16" s="155"/>
    </row>
    <row r="17" spans="1:74" x14ac:dyDescent="0.25">
      <c r="A17" t="s">
        <v>59</v>
      </c>
      <c r="B17" t="s">
        <v>330</v>
      </c>
      <c r="C17" t="s">
        <v>59</v>
      </c>
      <c r="D17" t="s">
        <v>330</v>
      </c>
      <c r="E17" t="s">
        <v>394</v>
      </c>
      <c r="G17" s="154"/>
      <c r="H17" s="154"/>
      <c r="I17" s="154" t="s">
        <v>395</v>
      </c>
      <c r="J17" s="154" t="s">
        <v>396</v>
      </c>
      <c r="K17" s="154" t="s">
        <v>397</v>
      </c>
      <c r="L17" s="154" t="s">
        <v>396</v>
      </c>
      <c r="M17" s="154" t="s">
        <v>396</v>
      </c>
      <c r="N17" s="154"/>
      <c r="O17" s="154"/>
      <c r="P17" t="s">
        <v>72</v>
      </c>
      <c r="Q17" t="s">
        <v>72</v>
      </c>
      <c r="R17">
        <v>46</v>
      </c>
      <c r="S17">
        <v>16</v>
      </c>
      <c r="T17">
        <v>130</v>
      </c>
      <c r="U17">
        <v>0</v>
      </c>
      <c r="V17" t="s">
        <v>335</v>
      </c>
      <c r="W17" s="154"/>
      <c r="X17" s="154" t="s">
        <v>389</v>
      </c>
      <c r="Y17" s="154" t="s">
        <v>389</v>
      </c>
      <c r="Z17">
        <v>0</v>
      </c>
      <c r="AB17">
        <v>130</v>
      </c>
      <c r="AH17">
        <v>1</v>
      </c>
      <c r="AI17">
        <v>1</v>
      </c>
      <c r="AQ17">
        <v>1</v>
      </c>
      <c r="AS17">
        <v>46</v>
      </c>
      <c r="AU17">
        <v>16</v>
      </c>
      <c r="AV17">
        <v>1</v>
      </c>
      <c r="AW17" s="155">
        <v>45790</v>
      </c>
      <c r="AX17" s="155"/>
      <c r="AY17">
        <v>9003190090</v>
      </c>
      <c r="AZ17" t="s">
        <v>348</v>
      </c>
      <c r="BA17">
        <v>99</v>
      </c>
      <c r="BF17">
        <v>1</v>
      </c>
      <c r="BG17" t="s">
        <v>72</v>
      </c>
      <c r="BH17" t="s">
        <v>72</v>
      </c>
      <c r="BI17" t="s">
        <v>338</v>
      </c>
      <c r="BJ17" t="s">
        <v>72</v>
      </c>
      <c r="BU17" s="155">
        <v>45790</v>
      </c>
      <c r="BV17" s="155"/>
    </row>
    <row r="18" spans="1:74" x14ac:dyDescent="0.25">
      <c r="A18" t="s">
        <v>59</v>
      </c>
      <c r="B18" t="s">
        <v>330</v>
      </c>
      <c r="C18" t="s">
        <v>59</v>
      </c>
      <c r="D18" t="s">
        <v>330</v>
      </c>
      <c r="E18" t="s">
        <v>398</v>
      </c>
      <c r="G18" s="154"/>
      <c r="H18" s="154"/>
      <c r="I18" s="154" t="s">
        <v>399</v>
      </c>
      <c r="J18" s="154" t="s">
        <v>400</v>
      </c>
      <c r="K18" s="154" t="s">
        <v>397</v>
      </c>
      <c r="L18" s="154" t="s">
        <v>400</v>
      </c>
      <c r="M18" s="154" t="s">
        <v>400</v>
      </c>
      <c r="N18" s="154"/>
      <c r="O18" s="154"/>
      <c r="P18" t="s">
        <v>72</v>
      </c>
      <c r="Q18" t="s">
        <v>72</v>
      </c>
      <c r="R18">
        <v>46</v>
      </c>
      <c r="S18">
        <v>16</v>
      </c>
      <c r="T18">
        <v>130</v>
      </c>
      <c r="U18">
        <v>0</v>
      </c>
      <c r="V18" t="s">
        <v>335</v>
      </c>
      <c r="W18" s="154"/>
      <c r="X18" s="154" t="s">
        <v>393</v>
      </c>
      <c r="Y18" s="154" t="s">
        <v>393</v>
      </c>
      <c r="Z18">
        <v>0</v>
      </c>
      <c r="AB18">
        <v>130</v>
      </c>
      <c r="AH18">
        <v>1</v>
      </c>
      <c r="AI18">
        <v>1</v>
      </c>
      <c r="AQ18">
        <v>1</v>
      </c>
      <c r="AS18">
        <v>46</v>
      </c>
      <c r="AU18">
        <v>16</v>
      </c>
      <c r="AV18">
        <v>1</v>
      </c>
      <c r="AW18" s="155">
        <v>45790</v>
      </c>
      <c r="AX18" s="155"/>
      <c r="AY18">
        <v>9003190090</v>
      </c>
      <c r="AZ18" t="s">
        <v>348</v>
      </c>
      <c r="BA18">
        <v>99</v>
      </c>
      <c r="BF18">
        <v>1</v>
      </c>
      <c r="BG18" t="s">
        <v>72</v>
      </c>
      <c r="BH18" t="s">
        <v>72</v>
      </c>
      <c r="BI18" t="s">
        <v>338</v>
      </c>
      <c r="BJ18" t="s">
        <v>72</v>
      </c>
      <c r="BU18" s="155">
        <v>45790</v>
      </c>
      <c r="BV18" s="155"/>
    </row>
    <row r="19" spans="1:74" x14ac:dyDescent="0.25">
      <c r="A19" t="s">
        <v>59</v>
      </c>
      <c r="B19" t="s">
        <v>330</v>
      </c>
      <c r="C19" t="s">
        <v>59</v>
      </c>
      <c r="D19" t="s">
        <v>330</v>
      </c>
      <c r="E19" t="s">
        <v>401</v>
      </c>
      <c r="G19" s="154"/>
      <c r="H19" s="154"/>
      <c r="I19" s="154" t="s">
        <v>402</v>
      </c>
      <c r="J19" s="154" t="s">
        <v>403</v>
      </c>
      <c r="K19" s="154" t="s">
        <v>404</v>
      </c>
      <c r="L19" s="154" t="s">
        <v>403</v>
      </c>
      <c r="M19" s="154" t="s">
        <v>403</v>
      </c>
      <c r="N19" s="154"/>
      <c r="O19" s="154"/>
      <c r="P19" t="s">
        <v>72</v>
      </c>
      <c r="Q19" t="s">
        <v>72</v>
      </c>
      <c r="R19">
        <v>47</v>
      </c>
      <c r="S19">
        <v>16</v>
      </c>
      <c r="T19">
        <v>130</v>
      </c>
      <c r="U19">
        <v>0</v>
      </c>
      <c r="V19" t="s">
        <v>335</v>
      </c>
      <c r="W19" s="154"/>
      <c r="X19" s="154" t="s">
        <v>389</v>
      </c>
      <c r="Y19" s="154" t="s">
        <v>389</v>
      </c>
      <c r="Z19">
        <v>0</v>
      </c>
      <c r="AB19">
        <v>130</v>
      </c>
      <c r="AH19">
        <v>1</v>
      </c>
      <c r="AI19">
        <v>1</v>
      </c>
      <c r="AQ19">
        <v>1</v>
      </c>
      <c r="AS19">
        <v>47</v>
      </c>
      <c r="AU19">
        <v>16</v>
      </c>
      <c r="AV19">
        <v>1</v>
      </c>
      <c r="AW19" s="155">
        <v>45790</v>
      </c>
      <c r="AX19" s="155"/>
      <c r="AY19">
        <v>9003190090</v>
      </c>
      <c r="AZ19" t="s">
        <v>348</v>
      </c>
      <c r="BA19">
        <v>99</v>
      </c>
      <c r="BF19">
        <v>1</v>
      </c>
      <c r="BG19" t="s">
        <v>72</v>
      </c>
      <c r="BH19" t="s">
        <v>72</v>
      </c>
      <c r="BI19" t="s">
        <v>338</v>
      </c>
      <c r="BJ19" t="s">
        <v>72</v>
      </c>
      <c r="BU19" s="155">
        <v>45790</v>
      </c>
      <c r="BV19" s="155"/>
    </row>
    <row r="20" spans="1:74" x14ac:dyDescent="0.25">
      <c r="A20" t="s">
        <v>59</v>
      </c>
      <c r="B20" t="s">
        <v>330</v>
      </c>
      <c r="C20" t="s">
        <v>59</v>
      </c>
      <c r="D20" t="s">
        <v>330</v>
      </c>
      <c r="E20" t="s">
        <v>405</v>
      </c>
      <c r="G20" s="154"/>
      <c r="H20" s="154"/>
      <c r="I20" s="154" t="s">
        <v>406</v>
      </c>
      <c r="J20" s="154" t="s">
        <v>407</v>
      </c>
      <c r="K20" s="154" t="s">
        <v>404</v>
      </c>
      <c r="L20" s="154" t="s">
        <v>407</v>
      </c>
      <c r="M20" s="154" t="s">
        <v>407</v>
      </c>
      <c r="N20" s="154"/>
      <c r="O20" s="154"/>
      <c r="P20" t="s">
        <v>72</v>
      </c>
      <c r="Q20" t="s">
        <v>72</v>
      </c>
      <c r="R20">
        <v>47</v>
      </c>
      <c r="S20">
        <v>16</v>
      </c>
      <c r="T20">
        <v>130</v>
      </c>
      <c r="U20">
        <v>0</v>
      </c>
      <c r="V20" t="s">
        <v>335</v>
      </c>
      <c r="W20" s="154"/>
      <c r="X20" s="154" t="s">
        <v>393</v>
      </c>
      <c r="Y20" s="154" t="s">
        <v>393</v>
      </c>
      <c r="Z20">
        <v>0</v>
      </c>
      <c r="AB20">
        <v>130</v>
      </c>
      <c r="AH20">
        <v>1</v>
      </c>
      <c r="AI20">
        <v>1</v>
      </c>
      <c r="AQ20">
        <v>1</v>
      </c>
      <c r="AS20">
        <v>47</v>
      </c>
      <c r="AU20">
        <v>16</v>
      </c>
      <c r="AV20">
        <v>1</v>
      </c>
      <c r="AW20" s="155">
        <v>45790</v>
      </c>
      <c r="AX20" s="155"/>
      <c r="AY20">
        <v>9003190090</v>
      </c>
      <c r="AZ20" t="s">
        <v>348</v>
      </c>
      <c r="BA20">
        <v>99</v>
      </c>
      <c r="BF20">
        <v>1</v>
      </c>
      <c r="BG20" t="s">
        <v>72</v>
      </c>
      <c r="BH20" t="s">
        <v>72</v>
      </c>
      <c r="BI20" t="s">
        <v>338</v>
      </c>
      <c r="BJ20" t="s">
        <v>72</v>
      </c>
      <c r="BU20" s="155">
        <v>45790</v>
      </c>
      <c r="BV20" s="155"/>
    </row>
    <row r="21" spans="1:74" x14ac:dyDescent="0.25">
      <c r="A21" t="s">
        <v>59</v>
      </c>
      <c r="B21" t="s">
        <v>330</v>
      </c>
      <c r="C21" t="s">
        <v>59</v>
      </c>
      <c r="D21" t="s">
        <v>330</v>
      </c>
      <c r="E21" t="s">
        <v>408</v>
      </c>
      <c r="G21" s="154"/>
      <c r="H21" s="154"/>
      <c r="I21" s="154" t="s">
        <v>409</v>
      </c>
      <c r="J21" s="154" t="s">
        <v>410</v>
      </c>
      <c r="K21" s="154" t="s">
        <v>411</v>
      </c>
      <c r="L21" s="154" t="s">
        <v>410</v>
      </c>
      <c r="M21" s="154" t="s">
        <v>410</v>
      </c>
      <c r="N21" s="154"/>
      <c r="O21" s="154"/>
      <c r="P21" t="s">
        <v>72</v>
      </c>
      <c r="Q21" t="s">
        <v>72</v>
      </c>
      <c r="R21">
        <v>45</v>
      </c>
      <c r="S21">
        <v>18</v>
      </c>
      <c r="T21">
        <v>125</v>
      </c>
      <c r="U21">
        <v>0</v>
      </c>
      <c r="V21" t="s">
        <v>335</v>
      </c>
      <c r="W21" s="154"/>
      <c r="X21" s="154" t="s">
        <v>389</v>
      </c>
      <c r="Y21" s="154" t="s">
        <v>389</v>
      </c>
      <c r="Z21">
        <v>0</v>
      </c>
      <c r="AB21">
        <v>125</v>
      </c>
      <c r="AH21">
        <v>1</v>
      </c>
      <c r="AI21">
        <v>1</v>
      </c>
      <c r="AQ21">
        <v>1</v>
      </c>
      <c r="AS21">
        <v>45</v>
      </c>
      <c r="AU21">
        <v>18</v>
      </c>
      <c r="AV21">
        <v>1</v>
      </c>
      <c r="AW21" s="155">
        <v>45790</v>
      </c>
      <c r="AX21" s="155"/>
      <c r="AY21">
        <v>9003190090</v>
      </c>
      <c r="AZ21" t="s">
        <v>373</v>
      </c>
      <c r="BA21">
        <v>129</v>
      </c>
      <c r="BF21">
        <v>1</v>
      </c>
      <c r="BG21" t="s">
        <v>72</v>
      </c>
      <c r="BH21" t="s">
        <v>72</v>
      </c>
      <c r="BI21" t="s">
        <v>338</v>
      </c>
      <c r="BJ21" t="s">
        <v>72</v>
      </c>
      <c r="BU21" s="155">
        <v>45790</v>
      </c>
      <c r="BV21" s="155"/>
    </row>
    <row r="22" spans="1:74" x14ac:dyDescent="0.25">
      <c r="A22" t="s">
        <v>59</v>
      </c>
      <c r="B22" t="s">
        <v>330</v>
      </c>
      <c r="C22" t="s">
        <v>59</v>
      </c>
      <c r="D22" t="s">
        <v>330</v>
      </c>
      <c r="E22" t="s">
        <v>412</v>
      </c>
      <c r="G22" s="154"/>
      <c r="H22" s="154"/>
      <c r="I22" s="154" t="s">
        <v>413</v>
      </c>
      <c r="J22" s="154" t="s">
        <v>414</v>
      </c>
      <c r="K22" s="154" t="s">
        <v>411</v>
      </c>
      <c r="L22" s="154" t="s">
        <v>414</v>
      </c>
      <c r="M22" s="154" t="s">
        <v>414</v>
      </c>
      <c r="N22" s="154"/>
      <c r="O22" s="154"/>
      <c r="P22" t="s">
        <v>72</v>
      </c>
      <c r="Q22" t="s">
        <v>72</v>
      </c>
      <c r="R22">
        <v>45</v>
      </c>
      <c r="S22">
        <v>18</v>
      </c>
      <c r="T22">
        <v>125</v>
      </c>
      <c r="U22">
        <v>0</v>
      </c>
      <c r="V22" t="s">
        <v>335</v>
      </c>
      <c r="W22" s="154"/>
      <c r="X22" s="154" t="s">
        <v>342</v>
      </c>
      <c r="Y22" s="154" t="s">
        <v>342</v>
      </c>
      <c r="Z22">
        <v>0</v>
      </c>
      <c r="AB22">
        <v>125</v>
      </c>
      <c r="AH22">
        <v>1</v>
      </c>
      <c r="AI22">
        <v>1</v>
      </c>
      <c r="AQ22">
        <v>1</v>
      </c>
      <c r="AS22">
        <v>45</v>
      </c>
      <c r="AU22">
        <v>18</v>
      </c>
      <c r="AV22">
        <v>1</v>
      </c>
      <c r="AW22" s="155">
        <v>45790</v>
      </c>
      <c r="AX22" s="155"/>
      <c r="AY22">
        <v>9003190090</v>
      </c>
      <c r="AZ22" t="s">
        <v>373</v>
      </c>
      <c r="BA22">
        <v>129</v>
      </c>
      <c r="BF22">
        <v>1</v>
      </c>
      <c r="BG22" t="s">
        <v>72</v>
      </c>
      <c r="BH22" t="s">
        <v>72</v>
      </c>
      <c r="BI22" t="s">
        <v>338</v>
      </c>
      <c r="BJ22" t="s">
        <v>72</v>
      </c>
      <c r="BU22" s="155">
        <v>45790</v>
      </c>
      <c r="BV22" s="155"/>
    </row>
    <row r="23" spans="1:74" x14ac:dyDescent="0.25">
      <c r="A23" t="s">
        <v>59</v>
      </c>
      <c r="B23" t="s">
        <v>330</v>
      </c>
      <c r="C23" t="s">
        <v>59</v>
      </c>
      <c r="D23" t="s">
        <v>330</v>
      </c>
      <c r="E23" t="s">
        <v>415</v>
      </c>
      <c r="G23" s="154"/>
      <c r="H23" s="154"/>
      <c r="I23" s="154" t="s">
        <v>416</v>
      </c>
      <c r="J23" s="154" t="s">
        <v>417</v>
      </c>
      <c r="K23" s="154" t="s">
        <v>418</v>
      </c>
      <c r="L23" s="154" t="s">
        <v>417</v>
      </c>
      <c r="M23" s="154" t="s">
        <v>417</v>
      </c>
      <c r="N23" s="154"/>
      <c r="O23" s="154"/>
      <c r="P23" t="s">
        <v>72</v>
      </c>
      <c r="Q23" t="s">
        <v>72</v>
      </c>
      <c r="R23">
        <v>45</v>
      </c>
      <c r="S23">
        <v>16</v>
      </c>
      <c r="T23">
        <v>130</v>
      </c>
      <c r="U23">
        <v>0</v>
      </c>
      <c r="V23" t="s">
        <v>335</v>
      </c>
      <c r="W23" s="154"/>
      <c r="X23" s="154" t="s">
        <v>419</v>
      </c>
      <c r="Y23" s="154" t="s">
        <v>419</v>
      </c>
      <c r="Z23">
        <v>0</v>
      </c>
      <c r="AB23">
        <v>130</v>
      </c>
      <c r="AH23">
        <v>1</v>
      </c>
      <c r="AI23">
        <v>1</v>
      </c>
      <c r="AQ23">
        <v>1</v>
      </c>
      <c r="AS23">
        <v>45</v>
      </c>
      <c r="AU23">
        <v>16</v>
      </c>
      <c r="AV23">
        <v>1</v>
      </c>
      <c r="AW23" s="155">
        <v>45790</v>
      </c>
      <c r="AX23" s="155"/>
      <c r="AY23">
        <v>9003190090</v>
      </c>
      <c r="AZ23" t="s">
        <v>373</v>
      </c>
      <c r="BA23">
        <v>129</v>
      </c>
      <c r="BF23">
        <v>1</v>
      </c>
      <c r="BG23" t="s">
        <v>72</v>
      </c>
      <c r="BH23" t="s">
        <v>72</v>
      </c>
      <c r="BI23" t="s">
        <v>338</v>
      </c>
      <c r="BJ23" t="s">
        <v>72</v>
      </c>
      <c r="BU23" s="155">
        <v>45790</v>
      </c>
      <c r="BV23" s="155"/>
    </row>
    <row r="24" spans="1:74" x14ac:dyDescent="0.25">
      <c r="A24" t="s">
        <v>59</v>
      </c>
      <c r="B24" t="s">
        <v>330</v>
      </c>
      <c r="C24" t="s">
        <v>59</v>
      </c>
      <c r="D24" t="s">
        <v>330</v>
      </c>
      <c r="E24" t="s">
        <v>420</v>
      </c>
      <c r="G24" s="154"/>
      <c r="H24" s="154"/>
      <c r="I24" s="154" t="s">
        <v>421</v>
      </c>
      <c r="J24" s="154" t="s">
        <v>422</v>
      </c>
      <c r="K24" s="154" t="s">
        <v>418</v>
      </c>
      <c r="L24" s="154" t="s">
        <v>422</v>
      </c>
      <c r="M24" s="154" t="s">
        <v>422</v>
      </c>
      <c r="N24" s="154"/>
      <c r="O24" s="154"/>
      <c r="P24" t="s">
        <v>72</v>
      </c>
      <c r="Q24" t="s">
        <v>72</v>
      </c>
      <c r="R24">
        <v>45</v>
      </c>
      <c r="S24">
        <v>16</v>
      </c>
      <c r="T24">
        <v>130</v>
      </c>
      <c r="U24">
        <v>0</v>
      </c>
      <c r="V24" t="s">
        <v>335</v>
      </c>
      <c r="W24" s="154"/>
      <c r="X24" s="154" t="s">
        <v>423</v>
      </c>
      <c r="Y24" s="154" t="s">
        <v>423</v>
      </c>
      <c r="Z24">
        <v>0</v>
      </c>
      <c r="AB24">
        <v>130</v>
      </c>
      <c r="AH24">
        <v>1</v>
      </c>
      <c r="AI24">
        <v>1</v>
      </c>
      <c r="AQ24">
        <v>1</v>
      </c>
      <c r="AS24">
        <v>45</v>
      </c>
      <c r="AU24">
        <v>16</v>
      </c>
      <c r="AV24">
        <v>1</v>
      </c>
      <c r="AW24" s="155">
        <v>45790</v>
      </c>
      <c r="AX24" s="155"/>
      <c r="AY24">
        <v>9003190090</v>
      </c>
      <c r="AZ24" t="s">
        <v>373</v>
      </c>
      <c r="BA24">
        <v>129</v>
      </c>
      <c r="BF24">
        <v>1</v>
      </c>
      <c r="BG24" t="s">
        <v>72</v>
      </c>
      <c r="BH24" t="s">
        <v>72</v>
      </c>
      <c r="BI24" t="s">
        <v>338</v>
      </c>
      <c r="BJ24" t="s">
        <v>72</v>
      </c>
      <c r="BU24" s="155">
        <v>45790</v>
      </c>
      <c r="BV24" s="155"/>
    </row>
    <row r="25" spans="1:74" ht="14.25" x14ac:dyDescent="0.25">
      <c r="A25" t="s">
        <v>59</v>
      </c>
      <c r="B25" t="s">
        <v>330</v>
      </c>
      <c r="C25" t="s">
        <v>59</v>
      </c>
      <c r="D25" t="s">
        <v>330</v>
      </c>
      <c r="E25" t="s">
        <v>424</v>
      </c>
      <c r="G25" s="154"/>
      <c r="H25" s="154"/>
      <c r="I25" s="154" t="s">
        <v>425</v>
      </c>
      <c r="J25" s="154" t="s">
        <v>426</v>
      </c>
      <c r="K25" s="154" t="s">
        <v>427</v>
      </c>
      <c r="L25" s="154" t="s">
        <v>426</v>
      </c>
      <c r="M25" s="154" t="s">
        <v>426</v>
      </c>
      <c r="N25" s="154"/>
      <c r="O25" s="154"/>
      <c r="P25" t="s">
        <v>72</v>
      </c>
      <c r="Q25" t="s">
        <v>72</v>
      </c>
      <c r="R25">
        <v>46</v>
      </c>
      <c r="S25">
        <v>17</v>
      </c>
      <c r="T25">
        <v>130</v>
      </c>
      <c r="U25">
        <v>0</v>
      </c>
      <c r="V25" t="s">
        <v>335</v>
      </c>
      <c r="W25" s="154"/>
      <c r="X25" s="154" t="s">
        <v>389</v>
      </c>
      <c r="Y25" s="154" t="s">
        <v>389</v>
      </c>
      <c r="Z25">
        <v>0</v>
      </c>
      <c r="AB25">
        <v>130</v>
      </c>
      <c r="AH25">
        <v>1</v>
      </c>
      <c r="AI25">
        <v>1</v>
      </c>
      <c r="AQ25">
        <v>1</v>
      </c>
      <c r="AS25">
        <v>46</v>
      </c>
      <c r="AU25">
        <v>17</v>
      </c>
      <c r="AV25">
        <v>1</v>
      </c>
      <c r="AW25" s="155">
        <v>45790</v>
      </c>
      <c r="AX25" s="155"/>
      <c r="AY25">
        <v>9003190090</v>
      </c>
      <c r="AZ25" t="s">
        <v>373</v>
      </c>
      <c r="BA25">
        <v>129</v>
      </c>
      <c r="BF25">
        <v>1</v>
      </c>
      <c r="BG25" t="s">
        <v>72</v>
      </c>
      <c r="BH25" t="s">
        <v>72</v>
      </c>
      <c r="BI25" t="s">
        <v>338</v>
      </c>
      <c r="BJ25" t="s">
        <v>72</v>
      </c>
      <c r="BU25" s="155">
        <v>45790</v>
      </c>
      <c r="BV25" s="155"/>
    </row>
    <row r="26" spans="1:74" ht="14.25" x14ac:dyDescent="0.25">
      <c r="A26" t="s">
        <v>59</v>
      </c>
      <c r="B26" t="s">
        <v>330</v>
      </c>
      <c r="C26" t="s">
        <v>59</v>
      </c>
      <c r="D26" t="s">
        <v>330</v>
      </c>
      <c r="E26" t="s">
        <v>428</v>
      </c>
      <c r="G26" s="154"/>
      <c r="H26" s="154"/>
      <c r="I26" s="154" t="s">
        <v>429</v>
      </c>
      <c r="J26" s="154" t="s">
        <v>430</v>
      </c>
      <c r="K26" s="154" t="s">
        <v>427</v>
      </c>
      <c r="L26" s="154" t="s">
        <v>430</v>
      </c>
      <c r="M26" s="154" t="s">
        <v>430</v>
      </c>
      <c r="N26" s="154"/>
      <c r="O26" s="154"/>
      <c r="P26" t="s">
        <v>72</v>
      </c>
      <c r="Q26" t="s">
        <v>72</v>
      </c>
      <c r="R26">
        <v>46</v>
      </c>
      <c r="S26">
        <v>17</v>
      </c>
      <c r="T26">
        <v>130</v>
      </c>
      <c r="U26">
        <v>0</v>
      </c>
      <c r="V26" t="s">
        <v>335</v>
      </c>
      <c r="W26" s="154"/>
      <c r="X26" s="154" t="s">
        <v>419</v>
      </c>
      <c r="Y26" s="154" t="s">
        <v>419</v>
      </c>
      <c r="Z26">
        <v>0</v>
      </c>
      <c r="AB26">
        <v>130</v>
      </c>
      <c r="AH26">
        <v>1</v>
      </c>
      <c r="AI26">
        <v>1</v>
      </c>
      <c r="AQ26">
        <v>1</v>
      </c>
      <c r="AS26">
        <v>46</v>
      </c>
      <c r="AU26">
        <v>17</v>
      </c>
      <c r="AV26">
        <v>1</v>
      </c>
      <c r="AW26" s="155">
        <v>45790</v>
      </c>
      <c r="AX26" s="155"/>
      <c r="AY26">
        <v>9003190090</v>
      </c>
      <c r="AZ26" t="s">
        <v>373</v>
      </c>
      <c r="BA26">
        <v>129</v>
      </c>
      <c r="BF26">
        <v>1</v>
      </c>
      <c r="BG26" t="s">
        <v>72</v>
      </c>
      <c r="BH26" t="s">
        <v>72</v>
      </c>
      <c r="BI26" t="s">
        <v>338</v>
      </c>
      <c r="BJ26" t="s">
        <v>72</v>
      </c>
      <c r="BU26" s="155">
        <v>45790</v>
      </c>
      <c r="BV26" s="155"/>
    </row>
    <row r="27" spans="1:74" ht="14.25" x14ac:dyDescent="0.25">
      <c r="A27" t="s">
        <v>59</v>
      </c>
      <c r="B27" t="s">
        <v>330</v>
      </c>
      <c r="C27" t="s">
        <v>59</v>
      </c>
      <c r="D27" t="s">
        <v>330</v>
      </c>
      <c r="E27" t="s">
        <v>431</v>
      </c>
      <c r="G27" s="154"/>
      <c r="H27" s="154"/>
      <c r="I27" s="154" t="s">
        <v>432</v>
      </c>
      <c r="J27" s="154" t="s">
        <v>433</v>
      </c>
      <c r="K27" s="154" t="s">
        <v>434</v>
      </c>
      <c r="L27" s="154" t="s">
        <v>433</v>
      </c>
      <c r="M27" s="154" t="s">
        <v>433</v>
      </c>
      <c r="N27" s="154"/>
      <c r="O27" s="154"/>
      <c r="P27" t="s">
        <v>72</v>
      </c>
      <c r="Q27" t="s">
        <v>358</v>
      </c>
      <c r="R27">
        <v>55</v>
      </c>
      <c r="S27">
        <v>17</v>
      </c>
      <c r="T27">
        <v>140</v>
      </c>
      <c r="U27">
        <v>0</v>
      </c>
      <c r="V27" t="s">
        <v>435</v>
      </c>
      <c r="W27" s="154"/>
      <c r="X27" s="154" t="s">
        <v>389</v>
      </c>
      <c r="Y27" s="154" t="s">
        <v>389</v>
      </c>
      <c r="Z27">
        <v>0</v>
      </c>
      <c r="AB27">
        <v>140</v>
      </c>
      <c r="AH27">
        <v>1</v>
      </c>
      <c r="AI27">
        <v>1</v>
      </c>
      <c r="AQ27">
        <v>1</v>
      </c>
      <c r="AS27">
        <v>55</v>
      </c>
      <c r="AU27">
        <v>17</v>
      </c>
      <c r="AV27">
        <v>1</v>
      </c>
      <c r="AW27" s="155">
        <v>45790</v>
      </c>
      <c r="AX27" s="155"/>
      <c r="AY27">
        <v>9003190090</v>
      </c>
      <c r="AZ27">
        <v>19</v>
      </c>
      <c r="BA27">
        <v>139</v>
      </c>
      <c r="BF27">
        <v>0</v>
      </c>
      <c r="BG27" t="s">
        <v>436</v>
      </c>
      <c r="BH27" t="s">
        <v>436</v>
      </c>
      <c r="BI27" t="s">
        <v>72</v>
      </c>
      <c r="BJ27" t="s">
        <v>72</v>
      </c>
      <c r="BU27" s="155">
        <v>45790</v>
      </c>
      <c r="BV27" s="155"/>
    </row>
    <row r="28" spans="1:74" ht="14.25" x14ac:dyDescent="0.25">
      <c r="A28" t="s">
        <v>59</v>
      </c>
      <c r="B28" t="s">
        <v>330</v>
      </c>
      <c r="C28" t="s">
        <v>59</v>
      </c>
      <c r="D28" t="s">
        <v>330</v>
      </c>
      <c r="E28" t="s">
        <v>437</v>
      </c>
      <c r="G28" s="154"/>
      <c r="H28" s="154"/>
      <c r="I28" s="154" t="s">
        <v>438</v>
      </c>
      <c r="J28" s="154" t="s">
        <v>439</v>
      </c>
      <c r="K28" s="154" t="s">
        <v>434</v>
      </c>
      <c r="L28" s="154" t="s">
        <v>439</v>
      </c>
      <c r="M28" s="154" t="s">
        <v>439</v>
      </c>
      <c r="N28" s="154"/>
      <c r="O28" s="154"/>
      <c r="P28" t="s">
        <v>72</v>
      </c>
      <c r="Q28" t="s">
        <v>358</v>
      </c>
      <c r="R28">
        <v>55</v>
      </c>
      <c r="S28">
        <v>17</v>
      </c>
      <c r="T28">
        <v>140</v>
      </c>
      <c r="U28">
        <v>0</v>
      </c>
      <c r="V28" t="s">
        <v>435</v>
      </c>
      <c r="W28" s="154"/>
      <c r="X28" s="154" t="s">
        <v>419</v>
      </c>
      <c r="Y28" s="154" t="s">
        <v>419</v>
      </c>
      <c r="Z28">
        <v>0</v>
      </c>
      <c r="AB28">
        <v>140</v>
      </c>
      <c r="AH28">
        <v>1</v>
      </c>
      <c r="AI28">
        <v>1</v>
      </c>
      <c r="AQ28">
        <v>1</v>
      </c>
      <c r="AS28">
        <v>55</v>
      </c>
      <c r="AU28">
        <v>17</v>
      </c>
      <c r="AV28">
        <v>1</v>
      </c>
      <c r="AW28" s="155">
        <v>45790</v>
      </c>
      <c r="AX28" s="155"/>
      <c r="AY28">
        <v>9003190090</v>
      </c>
      <c r="AZ28">
        <v>19</v>
      </c>
      <c r="BA28">
        <v>139</v>
      </c>
      <c r="BF28">
        <v>0</v>
      </c>
      <c r="BG28" t="s">
        <v>436</v>
      </c>
      <c r="BH28" t="s">
        <v>436</v>
      </c>
      <c r="BI28" t="s">
        <v>72</v>
      </c>
      <c r="BJ28" t="s">
        <v>72</v>
      </c>
      <c r="BU28" s="155">
        <v>45790</v>
      </c>
      <c r="BV28" s="155"/>
    </row>
    <row r="29" spans="1:74" ht="14.25" x14ac:dyDescent="0.25">
      <c r="A29" t="s">
        <v>59</v>
      </c>
      <c r="B29" t="s">
        <v>330</v>
      </c>
      <c r="C29" t="s">
        <v>59</v>
      </c>
      <c r="D29" t="s">
        <v>330</v>
      </c>
      <c r="E29" t="s">
        <v>440</v>
      </c>
      <c r="G29" s="154"/>
      <c r="H29" s="154"/>
      <c r="I29" s="154" t="s">
        <v>441</v>
      </c>
      <c r="J29" s="154" t="s">
        <v>442</v>
      </c>
      <c r="K29" s="154" t="s">
        <v>443</v>
      </c>
      <c r="L29" s="154" t="s">
        <v>442</v>
      </c>
      <c r="M29" s="154" t="s">
        <v>442</v>
      </c>
      <c r="N29" s="154"/>
      <c r="O29" s="154"/>
      <c r="P29" t="s">
        <v>72</v>
      </c>
      <c r="Q29" t="s">
        <v>358</v>
      </c>
      <c r="R29">
        <v>53</v>
      </c>
      <c r="S29">
        <v>18</v>
      </c>
      <c r="T29">
        <v>140</v>
      </c>
      <c r="U29">
        <v>0</v>
      </c>
      <c r="V29" t="s">
        <v>435</v>
      </c>
      <c r="W29" s="154"/>
      <c r="X29" s="154" t="s">
        <v>444</v>
      </c>
      <c r="Y29" s="154" t="s">
        <v>444</v>
      </c>
      <c r="Z29">
        <v>0</v>
      </c>
      <c r="AB29">
        <v>140</v>
      </c>
      <c r="AH29">
        <v>1</v>
      </c>
      <c r="AI29">
        <v>1</v>
      </c>
      <c r="AQ29">
        <v>1</v>
      </c>
      <c r="AS29">
        <v>53</v>
      </c>
      <c r="AU29">
        <v>18</v>
      </c>
      <c r="AV29">
        <v>1</v>
      </c>
      <c r="AW29" s="155">
        <v>45790</v>
      </c>
      <c r="AX29" s="155"/>
      <c r="AY29">
        <v>9003190090</v>
      </c>
      <c r="AZ29">
        <v>19</v>
      </c>
      <c r="BA29">
        <v>139</v>
      </c>
      <c r="BF29">
        <v>0</v>
      </c>
      <c r="BG29" t="s">
        <v>436</v>
      </c>
      <c r="BH29" t="s">
        <v>436</v>
      </c>
      <c r="BI29" t="s">
        <v>338</v>
      </c>
      <c r="BJ29" t="s">
        <v>72</v>
      </c>
      <c r="BU29" s="155">
        <v>45790</v>
      </c>
      <c r="BV29" s="155"/>
    </row>
    <row r="30" spans="1:74" x14ac:dyDescent="0.25">
      <c r="A30" t="s">
        <v>59</v>
      </c>
      <c r="B30" t="s">
        <v>330</v>
      </c>
      <c r="C30" t="s">
        <v>59</v>
      </c>
      <c r="D30" t="s">
        <v>330</v>
      </c>
      <c r="E30" t="s">
        <v>445</v>
      </c>
      <c r="G30" s="154"/>
      <c r="H30" s="154"/>
      <c r="I30" s="154" t="s">
        <v>446</v>
      </c>
      <c r="J30" s="154" t="s">
        <v>447</v>
      </c>
      <c r="K30" s="154" t="s">
        <v>443</v>
      </c>
      <c r="L30" s="154" t="s">
        <v>447</v>
      </c>
      <c r="M30" s="154" t="s">
        <v>447</v>
      </c>
      <c r="N30" s="154"/>
      <c r="O30" s="154"/>
      <c r="P30" t="s">
        <v>72</v>
      </c>
      <c r="Q30" t="s">
        <v>358</v>
      </c>
      <c r="R30">
        <v>53</v>
      </c>
      <c r="S30">
        <v>18</v>
      </c>
      <c r="T30">
        <v>140</v>
      </c>
      <c r="U30">
        <v>0</v>
      </c>
      <c r="V30" t="s">
        <v>435</v>
      </c>
      <c r="W30" s="154"/>
      <c r="X30" s="154" t="s">
        <v>419</v>
      </c>
      <c r="Y30" s="154" t="s">
        <v>419</v>
      </c>
      <c r="Z30">
        <v>0</v>
      </c>
      <c r="AB30">
        <v>140</v>
      </c>
      <c r="AH30">
        <v>1</v>
      </c>
      <c r="AI30">
        <v>1</v>
      </c>
      <c r="AQ30">
        <v>1</v>
      </c>
      <c r="AS30">
        <v>53</v>
      </c>
      <c r="AU30">
        <v>18</v>
      </c>
      <c r="AV30">
        <v>1</v>
      </c>
      <c r="AW30" s="155">
        <v>45790</v>
      </c>
      <c r="AX30" s="155"/>
      <c r="AY30">
        <v>9003190090</v>
      </c>
      <c r="AZ30">
        <v>19</v>
      </c>
      <c r="BA30">
        <v>139</v>
      </c>
      <c r="BF30">
        <v>0</v>
      </c>
      <c r="BG30" t="s">
        <v>436</v>
      </c>
      <c r="BH30" t="s">
        <v>436</v>
      </c>
      <c r="BI30" t="s">
        <v>338</v>
      </c>
      <c r="BJ30" t="s">
        <v>72</v>
      </c>
      <c r="BU30" s="155">
        <v>45790</v>
      </c>
      <c r="BV30" s="155"/>
    </row>
    <row r="31" spans="1:74" x14ac:dyDescent="0.25">
      <c r="A31" t="s">
        <v>59</v>
      </c>
      <c r="B31" t="s">
        <v>330</v>
      </c>
      <c r="C31" t="s">
        <v>59</v>
      </c>
      <c r="D31" t="s">
        <v>330</v>
      </c>
      <c r="E31" t="s">
        <v>448</v>
      </c>
      <c r="G31" s="154"/>
      <c r="H31" s="154"/>
      <c r="I31" s="154" t="s">
        <v>449</v>
      </c>
      <c r="J31" s="154" t="s">
        <v>450</v>
      </c>
      <c r="K31" s="154" t="s">
        <v>451</v>
      </c>
      <c r="L31" s="154" t="s">
        <v>450</v>
      </c>
      <c r="M31" s="154" t="s">
        <v>450</v>
      </c>
      <c r="N31" s="154"/>
      <c r="O31" s="154"/>
      <c r="P31" t="s">
        <v>72</v>
      </c>
      <c r="Q31" t="s">
        <v>358</v>
      </c>
      <c r="R31">
        <v>53</v>
      </c>
      <c r="S31">
        <v>18</v>
      </c>
      <c r="T31">
        <v>140</v>
      </c>
      <c r="U31">
        <v>0</v>
      </c>
      <c r="V31" t="s">
        <v>435</v>
      </c>
      <c r="W31" s="154"/>
      <c r="X31" s="154" t="s">
        <v>452</v>
      </c>
      <c r="Y31" s="154" t="s">
        <v>452</v>
      </c>
      <c r="Z31">
        <v>0</v>
      </c>
      <c r="AB31">
        <v>140</v>
      </c>
      <c r="AH31">
        <v>1</v>
      </c>
      <c r="AI31">
        <v>1</v>
      </c>
      <c r="AQ31">
        <v>1</v>
      </c>
      <c r="AS31">
        <v>53</v>
      </c>
      <c r="AU31">
        <v>18</v>
      </c>
      <c r="AV31">
        <v>1</v>
      </c>
      <c r="AW31" s="155">
        <v>45790</v>
      </c>
      <c r="AX31" s="155"/>
      <c r="AY31">
        <v>9003190090</v>
      </c>
      <c r="AZ31">
        <v>19</v>
      </c>
      <c r="BA31">
        <v>139</v>
      </c>
      <c r="BF31">
        <v>0</v>
      </c>
      <c r="BG31" t="s">
        <v>436</v>
      </c>
      <c r="BH31" t="s">
        <v>436</v>
      </c>
      <c r="BI31" t="s">
        <v>453</v>
      </c>
      <c r="BJ31" t="s">
        <v>72</v>
      </c>
      <c r="BU31" s="155">
        <v>45790</v>
      </c>
      <c r="BV31" s="155"/>
    </row>
    <row r="32" spans="1:74" x14ac:dyDescent="0.25">
      <c r="A32" t="s">
        <v>59</v>
      </c>
      <c r="B32" t="s">
        <v>330</v>
      </c>
      <c r="C32" t="s">
        <v>59</v>
      </c>
      <c r="D32" t="s">
        <v>330</v>
      </c>
      <c r="E32" t="s">
        <v>454</v>
      </c>
      <c r="G32" s="154"/>
      <c r="H32" s="154"/>
      <c r="I32" s="154" t="s">
        <v>455</v>
      </c>
      <c r="J32" s="154" t="s">
        <v>456</v>
      </c>
      <c r="K32" s="154" t="s">
        <v>451</v>
      </c>
      <c r="L32" s="154" t="s">
        <v>456</v>
      </c>
      <c r="M32" s="154" t="s">
        <v>456</v>
      </c>
      <c r="N32" s="154"/>
      <c r="O32" s="154"/>
      <c r="P32" t="s">
        <v>72</v>
      </c>
      <c r="Q32" t="s">
        <v>358</v>
      </c>
      <c r="R32">
        <v>53</v>
      </c>
      <c r="S32">
        <v>18</v>
      </c>
      <c r="T32">
        <v>140</v>
      </c>
      <c r="U32">
        <v>0</v>
      </c>
      <c r="V32" t="s">
        <v>435</v>
      </c>
      <c r="W32" s="154"/>
      <c r="X32" s="154" t="s">
        <v>352</v>
      </c>
      <c r="Y32" s="154" t="s">
        <v>352</v>
      </c>
      <c r="Z32">
        <v>0</v>
      </c>
      <c r="AB32">
        <v>140</v>
      </c>
      <c r="AH32">
        <v>1</v>
      </c>
      <c r="AI32">
        <v>1</v>
      </c>
      <c r="AQ32">
        <v>1</v>
      </c>
      <c r="AS32">
        <v>53</v>
      </c>
      <c r="AU32">
        <v>18</v>
      </c>
      <c r="AV32">
        <v>1</v>
      </c>
      <c r="AW32" s="155">
        <v>45790</v>
      </c>
      <c r="AX32" s="155"/>
      <c r="AY32">
        <v>9003190090</v>
      </c>
      <c r="AZ32">
        <v>19</v>
      </c>
      <c r="BA32">
        <v>139</v>
      </c>
      <c r="BF32">
        <v>0</v>
      </c>
      <c r="BG32" t="s">
        <v>436</v>
      </c>
      <c r="BH32" t="s">
        <v>436</v>
      </c>
      <c r="BI32" t="s">
        <v>453</v>
      </c>
      <c r="BJ32" t="s">
        <v>72</v>
      </c>
      <c r="BU32" s="155">
        <v>45790</v>
      </c>
      <c r="BV32" s="155"/>
    </row>
    <row r="33" spans="1:74" x14ac:dyDescent="0.25">
      <c r="A33" t="s">
        <v>59</v>
      </c>
      <c r="B33" t="s">
        <v>330</v>
      </c>
      <c r="C33" t="s">
        <v>59</v>
      </c>
      <c r="D33" t="s">
        <v>330</v>
      </c>
      <c r="E33" t="s">
        <v>457</v>
      </c>
      <c r="G33" s="154"/>
      <c r="H33" s="154"/>
      <c r="I33" s="154" t="s">
        <v>458</v>
      </c>
      <c r="J33" s="154" t="s">
        <v>459</v>
      </c>
      <c r="K33" s="154" t="s">
        <v>460</v>
      </c>
      <c r="L33" s="154" t="s">
        <v>459</v>
      </c>
      <c r="M33" s="154" t="s">
        <v>459</v>
      </c>
      <c r="N33" s="154"/>
      <c r="O33" s="154"/>
      <c r="P33" t="s">
        <v>72</v>
      </c>
      <c r="Q33" t="s">
        <v>358</v>
      </c>
      <c r="R33">
        <v>51</v>
      </c>
      <c r="S33">
        <v>18</v>
      </c>
      <c r="T33">
        <v>140</v>
      </c>
      <c r="U33">
        <v>0</v>
      </c>
      <c r="V33" t="s">
        <v>435</v>
      </c>
      <c r="W33" s="154"/>
      <c r="X33" s="154" t="s">
        <v>357</v>
      </c>
      <c r="Y33" s="154" t="s">
        <v>357</v>
      </c>
      <c r="Z33">
        <v>0</v>
      </c>
      <c r="AB33">
        <v>140</v>
      </c>
      <c r="AH33">
        <v>1</v>
      </c>
      <c r="AI33">
        <v>1</v>
      </c>
      <c r="AQ33">
        <v>1</v>
      </c>
      <c r="AS33">
        <v>51</v>
      </c>
      <c r="AU33">
        <v>18</v>
      </c>
      <c r="AV33">
        <v>1</v>
      </c>
      <c r="AW33" s="155">
        <v>45790</v>
      </c>
      <c r="AX33" s="155"/>
      <c r="AY33">
        <v>9003190090</v>
      </c>
      <c r="AZ33">
        <v>19</v>
      </c>
      <c r="BA33">
        <v>139</v>
      </c>
      <c r="BF33">
        <v>0</v>
      </c>
      <c r="BG33" t="s">
        <v>436</v>
      </c>
      <c r="BH33" t="s">
        <v>436</v>
      </c>
      <c r="BI33" t="s">
        <v>338</v>
      </c>
      <c r="BJ33" t="s">
        <v>72</v>
      </c>
      <c r="BU33" s="155">
        <v>45790</v>
      </c>
      <c r="BV33" s="155"/>
    </row>
    <row r="34" spans="1:74" x14ac:dyDescent="0.25">
      <c r="A34" t="s">
        <v>59</v>
      </c>
      <c r="B34" t="s">
        <v>330</v>
      </c>
      <c r="C34" t="s">
        <v>59</v>
      </c>
      <c r="D34" t="s">
        <v>330</v>
      </c>
      <c r="E34" t="s">
        <v>461</v>
      </c>
      <c r="G34" s="154"/>
      <c r="H34" s="154"/>
      <c r="I34" s="154" t="s">
        <v>462</v>
      </c>
      <c r="J34" s="154" t="s">
        <v>463</v>
      </c>
      <c r="K34" s="154" t="s">
        <v>460</v>
      </c>
      <c r="L34" s="154" t="s">
        <v>463</v>
      </c>
      <c r="M34" s="154" t="s">
        <v>463</v>
      </c>
      <c r="N34" s="154"/>
      <c r="O34" s="154"/>
      <c r="P34" t="s">
        <v>72</v>
      </c>
      <c r="Q34" t="s">
        <v>358</v>
      </c>
      <c r="R34">
        <v>51</v>
      </c>
      <c r="S34">
        <v>18</v>
      </c>
      <c r="T34">
        <v>140</v>
      </c>
      <c r="U34">
        <v>0</v>
      </c>
      <c r="V34" t="s">
        <v>435</v>
      </c>
      <c r="W34" s="154"/>
      <c r="X34" s="154" t="s">
        <v>464</v>
      </c>
      <c r="Y34" s="154" t="s">
        <v>464</v>
      </c>
      <c r="Z34">
        <v>0</v>
      </c>
      <c r="AB34">
        <v>140</v>
      </c>
      <c r="AH34">
        <v>1</v>
      </c>
      <c r="AI34">
        <v>1</v>
      </c>
      <c r="AQ34">
        <v>1</v>
      </c>
      <c r="AS34">
        <v>51</v>
      </c>
      <c r="AU34">
        <v>18</v>
      </c>
      <c r="AV34">
        <v>1</v>
      </c>
      <c r="AW34" s="155">
        <v>45790</v>
      </c>
      <c r="AX34" s="155"/>
      <c r="AY34">
        <v>9003190090</v>
      </c>
      <c r="AZ34">
        <v>19</v>
      </c>
      <c r="BA34">
        <v>139</v>
      </c>
      <c r="BF34">
        <v>0</v>
      </c>
      <c r="BG34" t="s">
        <v>436</v>
      </c>
      <c r="BH34" t="s">
        <v>436</v>
      </c>
      <c r="BI34" t="s">
        <v>338</v>
      </c>
      <c r="BJ34" t="s">
        <v>72</v>
      </c>
      <c r="BU34" s="155">
        <v>45790</v>
      </c>
      <c r="BV34" s="155"/>
    </row>
    <row r="35" spans="1:74" x14ac:dyDescent="0.25">
      <c r="A35" t="s">
        <v>59</v>
      </c>
      <c r="B35" t="s">
        <v>330</v>
      </c>
      <c r="C35" t="s">
        <v>59</v>
      </c>
      <c r="D35" t="s">
        <v>330</v>
      </c>
      <c r="E35" t="s">
        <v>465</v>
      </c>
      <c r="G35" s="154"/>
      <c r="H35" s="154"/>
      <c r="I35" s="154" t="s">
        <v>466</v>
      </c>
      <c r="J35" s="154" t="s">
        <v>467</v>
      </c>
      <c r="K35" s="154" t="s">
        <v>468</v>
      </c>
      <c r="L35" s="154" t="s">
        <v>467</v>
      </c>
      <c r="M35" s="154" t="s">
        <v>467</v>
      </c>
      <c r="N35" s="154"/>
      <c r="O35" s="154"/>
      <c r="P35" t="s">
        <v>72</v>
      </c>
      <c r="Q35" t="s">
        <v>72</v>
      </c>
      <c r="R35">
        <v>51</v>
      </c>
      <c r="S35">
        <v>21</v>
      </c>
      <c r="T35">
        <v>145</v>
      </c>
      <c r="U35">
        <v>0</v>
      </c>
      <c r="V35" t="s">
        <v>469</v>
      </c>
      <c r="W35" s="154"/>
      <c r="X35" s="154" t="s">
        <v>389</v>
      </c>
      <c r="Y35" s="154" t="s">
        <v>389</v>
      </c>
      <c r="Z35">
        <v>0</v>
      </c>
      <c r="AB35">
        <v>145</v>
      </c>
      <c r="AH35">
        <v>1</v>
      </c>
      <c r="AI35">
        <v>1</v>
      </c>
      <c r="AQ35">
        <v>1</v>
      </c>
      <c r="AS35">
        <v>51</v>
      </c>
      <c r="AU35">
        <v>21</v>
      </c>
      <c r="AV35">
        <v>1</v>
      </c>
      <c r="AW35" s="155">
        <v>45790</v>
      </c>
      <c r="AX35" s="155"/>
      <c r="AY35">
        <v>9003190090</v>
      </c>
      <c r="AZ35">
        <v>40</v>
      </c>
      <c r="BA35">
        <v>259</v>
      </c>
      <c r="BF35">
        <v>0</v>
      </c>
      <c r="BG35" t="s">
        <v>72</v>
      </c>
      <c r="BH35" t="s">
        <v>72</v>
      </c>
      <c r="BI35" t="s">
        <v>72</v>
      </c>
      <c r="BJ35" t="s">
        <v>72</v>
      </c>
      <c r="BU35" s="155">
        <v>45790</v>
      </c>
      <c r="BV35" s="155"/>
    </row>
    <row r="36" spans="1:74" x14ac:dyDescent="0.25">
      <c r="A36" t="s">
        <v>59</v>
      </c>
      <c r="B36" t="s">
        <v>330</v>
      </c>
      <c r="C36" t="s">
        <v>59</v>
      </c>
      <c r="D36" t="s">
        <v>330</v>
      </c>
      <c r="E36" t="s">
        <v>470</v>
      </c>
      <c r="G36" s="154"/>
      <c r="H36" s="154"/>
      <c r="I36" s="154" t="s">
        <v>471</v>
      </c>
      <c r="J36" s="154" t="s">
        <v>472</v>
      </c>
      <c r="K36" s="154" t="s">
        <v>468</v>
      </c>
      <c r="L36" s="154" t="s">
        <v>472</v>
      </c>
      <c r="M36" s="154" t="s">
        <v>472</v>
      </c>
      <c r="N36" s="154"/>
      <c r="O36" s="154"/>
      <c r="P36" t="s">
        <v>72</v>
      </c>
      <c r="Q36" t="s">
        <v>72</v>
      </c>
      <c r="R36">
        <v>51</v>
      </c>
      <c r="S36">
        <v>21</v>
      </c>
      <c r="T36">
        <v>145</v>
      </c>
      <c r="U36">
        <v>0</v>
      </c>
      <c r="V36" t="s">
        <v>469</v>
      </c>
      <c r="W36" s="154"/>
      <c r="X36" s="154" t="s">
        <v>393</v>
      </c>
      <c r="Y36" s="154" t="s">
        <v>393</v>
      </c>
      <c r="Z36">
        <v>0</v>
      </c>
      <c r="AB36">
        <v>145</v>
      </c>
      <c r="AH36">
        <v>1</v>
      </c>
      <c r="AI36">
        <v>1</v>
      </c>
      <c r="AQ36">
        <v>1</v>
      </c>
      <c r="AS36">
        <v>51</v>
      </c>
      <c r="AU36">
        <v>21</v>
      </c>
      <c r="AV36">
        <v>1</v>
      </c>
      <c r="AW36" s="155">
        <v>45790</v>
      </c>
      <c r="AX36" s="155"/>
      <c r="AY36">
        <v>9003190090</v>
      </c>
      <c r="AZ36">
        <v>40</v>
      </c>
      <c r="BA36">
        <v>259</v>
      </c>
      <c r="BF36">
        <v>0</v>
      </c>
      <c r="BG36" t="s">
        <v>72</v>
      </c>
      <c r="BH36" t="s">
        <v>72</v>
      </c>
      <c r="BI36" t="s">
        <v>72</v>
      </c>
      <c r="BJ36" t="s">
        <v>72</v>
      </c>
      <c r="BU36" s="155">
        <v>45790</v>
      </c>
      <c r="BV36" s="155"/>
    </row>
    <row r="37" spans="1:74" x14ac:dyDescent="0.25">
      <c r="A37" t="s">
        <v>59</v>
      </c>
      <c r="B37" t="s">
        <v>330</v>
      </c>
      <c r="C37" t="s">
        <v>59</v>
      </c>
      <c r="D37" t="s">
        <v>330</v>
      </c>
      <c r="E37" t="s">
        <v>473</v>
      </c>
      <c r="G37" s="154"/>
      <c r="H37" s="154"/>
      <c r="I37" s="154" t="s">
        <v>474</v>
      </c>
      <c r="J37" s="154" t="s">
        <v>475</v>
      </c>
      <c r="K37" s="154" t="s">
        <v>476</v>
      </c>
      <c r="L37" s="154" t="s">
        <v>475</v>
      </c>
      <c r="M37" s="154" t="s">
        <v>475</v>
      </c>
      <c r="N37" s="154"/>
      <c r="O37" s="154"/>
      <c r="P37" t="s">
        <v>72</v>
      </c>
      <c r="Q37" t="s">
        <v>72</v>
      </c>
      <c r="R37">
        <v>46</v>
      </c>
      <c r="S37">
        <v>23</v>
      </c>
      <c r="T37">
        <v>140</v>
      </c>
      <c r="U37">
        <v>0</v>
      </c>
      <c r="V37" t="s">
        <v>469</v>
      </c>
      <c r="W37" s="154"/>
      <c r="X37" s="154" t="s">
        <v>133</v>
      </c>
      <c r="Y37" s="154" t="s">
        <v>133</v>
      </c>
      <c r="Z37">
        <v>0</v>
      </c>
      <c r="AB37">
        <v>140</v>
      </c>
      <c r="AH37">
        <v>1</v>
      </c>
      <c r="AI37">
        <v>1</v>
      </c>
      <c r="AQ37">
        <v>1</v>
      </c>
      <c r="AS37">
        <v>46</v>
      </c>
      <c r="AU37">
        <v>23</v>
      </c>
      <c r="AV37">
        <v>1</v>
      </c>
      <c r="AW37" s="155">
        <v>45790</v>
      </c>
      <c r="AX37" s="155"/>
      <c r="AY37">
        <v>9003190090</v>
      </c>
      <c r="AZ37">
        <v>40</v>
      </c>
      <c r="BA37">
        <v>259</v>
      </c>
      <c r="BF37">
        <v>0</v>
      </c>
      <c r="BG37" t="s">
        <v>72</v>
      </c>
      <c r="BH37" t="s">
        <v>72</v>
      </c>
      <c r="BI37" t="s">
        <v>72</v>
      </c>
      <c r="BJ37" t="s">
        <v>72</v>
      </c>
      <c r="BU37" s="155">
        <v>45790</v>
      </c>
      <c r="BV37" s="155"/>
    </row>
    <row r="38" spans="1:74" x14ac:dyDescent="0.25">
      <c r="A38" t="s">
        <v>59</v>
      </c>
      <c r="B38" t="s">
        <v>330</v>
      </c>
      <c r="C38" t="s">
        <v>59</v>
      </c>
      <c r="D38" t="s">
        <v>330</v>
      </c>
      <c r="E38" t="s">
        <v>477</v>
      </c>
      <c r="G38" s="154"/>
      <c r="H38" s="154"/>
      <c r="I38" s="154" t="s">
        <v>478</v>
      </c>
      <c r="J38" s="154" t="s">
        <v>479</v>
      </c>
      <c r="K38" s="154" t="s">
        <v>476</v>
      </c>
      <c r="L38" s="154" t="s">
        <v>479</v>
      </c>
      <c r="M38" s="154" t="s">
        <v>479</v>
      </c>
      <c r="N38" s="154"/>
      <c r="O38" s="154"/>
      <c r="P38" t="s">
        <v>72</v>
      </c>
      <c r="Q38" t="s">
        <v>72</v>
      </c>
      <c r="R38">
        <v>46</v>
      </c>
      <c r="S38">
        <v>23</v>
      </c>
      <c r="T38">
        <v>140</v>
      </c>
      <c r="U38">
        <v>0</v>
      </c>
      <c r="V38" t="s">
        <v>469</v>
      </c>
      <c r="W38" s="154"/>
      <c r="X38" s="154" t="s">
        <v>480</v>
      </c>
      <c r="Y38" s="154" t="s">
        <v>480</v>
      </c>
      <c r="Z38">
        <v>0</v>
      </c>
      <c r="AB38">
        <v>140</v>
      </c>
      <c r="AH38">
        <v>1</v>
      </c>
      <c r="AI38">
        <v>1</v>
      </c>
      <c r="AQ38">
        <v>1</v>
      </c>
      <c r="AS38">
        <v>46</v>
      </c>
      <c r="AU38">
        <v>23</v>
      </c>
      <c r="AV38">
        <v>1</v>
      </c>
      <c r="AW38" s="155">
        <v>45790</v>
      </c>
      <c r="AX38" s="155"/>
      <c r="AY38">
        <v>9003190090</v>
      </c>
      <c r="AZ38">
        <v>40</v>
      </c>
      <c r="BA38">
        <v>259</v>
      </c>
      <c r="BF38">
        <v>0</v>
      </c>
      <c r="BG38" t="s">
        <v>72</v>
      </c>
      <c r="BH38" t="s">
        <v>72</v>
      </c>
      <c r="BI38" t="s">
        <v>72</v>
      </c>
      <c r="BJ38" t="s">
        <v>72</v>
      </c>
      <c r="BU38" s="155">
        <v>45790</v>
      </c>
      <c r="BV38" s="155"/>
    </row>
    <row r="39" spans="1:74" x14ac:dyDescent="0.25">
      <c r="A39" t="s">
        <v>59</v>
      </c>
      <c r="B39" t="s">
        <v>330</v>
      </c>
      <c r="C39" t="s">
        <v>59</v>
      </c>
      <c r="D39" t="s">
        <v>330</v>
      </c>
      <c r="E39" t="s">
        <v>481</v>
      </c>
      <c r="G39" s="154"/>
      <c r="H39" s="154"/>
      <c r="I39" s="154" t="s">
        <v>482</v>
      </c>
      <c r="J39" s="154" t="s">
        <v>483</v>
      </c>
      <c r="K39" s="154" t="s">
        <v>476</v>
      </c>
      <c r="L39" s="154" t="s">
        <v>483</v>
      </c>
      <c r="M39" s="154" t="s">
        <v>483</v>
      </c>
      <c r="N39" s="154"/>
      <c r="O39" s="154"/>
      <c r="P39" t="s">
        <v>72</v>
      </c>
      <c r="Q39" t="s">
        <v>72</v>
      </c>
      <c r="R39">
        <v>46</v>
      </c>
      <c r="S39">
        <v>23</v>
      </c>
      <c r="T39">
        <v>140</v>
      </c>
      <c r="U39">
        <v>0</v>
      </c>
      <c r="V39" t="s">
        <v>469</v>
      </c>
      <c r="W39" s="154"/>
      <c r="X39" s="154" t="s">
        <v>393</v>
      </c>
      <c r="Y39" s="154" t="s">
        <v>393</v>
      </c>
      <c r="Z39">
        <v>0</v>
      </c>
      <c r="AB39">
        <v>140</v>
      </c>
      <c r="AH39">
        <v>1</v>
      </c>
      <c r="AI39">
        <v>1</v>
      </c>
      <c r="AQ39">
        <v>1</v>
      </c>
      <c r="AS39">
        <v>46</v>
      </c>
      <c r="AU39">
        <v>23</v>
      </c>
      <c r="AV39">
        <v>1</v>
      </c>
      <c r="AW39" s="155">
        <v>45790</v>
      </c>
      <c r="AX39" s="155"/>
      <c r="AY39">
        <v>9003190090</v>
      </c>
      <c r="AZ39">
        <v>40</v>
      </c>
      <c r="BA39">
        <v>259</v>
      </c>
      <c r="BF39">
        <v>0</v>
      </c>
      <c r="BG39" t="s">
        <v>72</v>
      </c>
      <c r="BH39" t="s">
        <v>72</v>
      </c>
      <c r="BI39" t="s">
        <v>72</v>
      </c>
      <c r="BJ39" t="s">
        <v>72</v>
      </c>
      <c r="BU39" s="155">
        <v>45790</v>
      </c>
      <c r="BV39" s="155"/>
    </row>
    <row r="40" spans="1:74" x14ac:dyDescent="0.25">
      <c r="A40" t="s">
        <v>59</v>
      </c>
      <c r="B40" t="s">
        <v>330</v>
      </c>
      <c r="C40" t="s">
        <v>59</v>
      </c>
      <c r="D40" t="s">
        <v>330</v>
      </c>
      <c r="E40" t="s">
        <v>484</v>
      </c>
      <c r="G40" s="154"/>
      <c r="H40" s="154"/>
      <c r="I40" s="154" t="s">
        <v>485</v>
      </c>
      <c r="J40" s="154" t="s">
        <v>486</v>
      </c>
      <c r="K40" s="154" t="s">
        <v>487</v>
      </c>
      <c r="L40" s="154" t="s">
        <v>486</v>
      </c>
      <c r="M40" s="154" t="s">
        <v>486</v>
      </c>
      <c r="N40" s="154"/>
      <c r="O40" s="154"/>
      <c r="P40" t="s">
        <v>72</v>
      </c>
      <c r="Q40" t="s">
        <v>72</v>
      </c>
      <c r="R40">
        <v>50</v>
      </c>
      <c r="S40">
        <v>22</v>
      </c>
      <c r="T40">
        <v>145</v>
      </c>
      <c r="U40">
        <v>0</v>
      </c>
      <c r="V40" t="s">
        <v>469</v>
      </c>
      <c r="W40" s="154"/>
      <c r="X40" s="154" t="s">
        <v>488</v>
      </c>
      <c r="Y40" s="154" t="s">
        <v>488</v>
      </c>
      <c r="Z40">
        <v>0</v>
      </c>
      <c r="AB40">
        <v>145</v>
      </c>
      <c r="AH40">
        <v>1</v>
      </c>
      <c r="AI40">
        <v>1</v>
      </c>
      <c r="AQ40">
        <v>1</v>
      </c>
      <c r="AS40">
        <v>50</v>
      </c>
      <c r="AU40">
        <v>22</v>
      </c>
      <c r="AV40">
        <v>1</v>
      </c>
      <c r="AW40" s="155">
        <v>45790</v>
      </c>
      <c r="AX40" s="155"/>
      <c r="AY40">
        <v>9003190090</v>
      </c>
      <c r="AZ40">
        <v>40</v>
      </c>
      <c r="BA40">
        <v>259</v>
      </c>
      <c r="BF40">
        <v>0</v>
      </c>
      <c r="BG40" t="s">
        <v>72</v>
      </c>
      <c r="BH40" t="s">
        <v>72</v>
      </c>
      <c r="BI40" t="s">
        <v>72</v>
      </c>
      <c r="BJ40" t="s">
        <v>72</v>
      </c>
      <c r="BU40" s="155">
        <v>45790</v>
      </c>
      <c r="BV40" s="155"/>
    </row>
    <row r="41" spans="1:74" x14ac:dyDescent="0.25">
      <c r="A41" t="s">
        <v>59</v>
      </c>
      <c r="B41" t="s">
        <v>330</v>
      </c>
      <c r="C41" t="s">
        <v>59</v>
      </c>
      <c r="D41" t="s">
        <v>330</v>
      </c>
      <c r="E41" t="s">
        <v>489</v>
      </c>
      <c r="G41" s="154"/>
      <c r="H41" s="154"/>
      <c r="I41" s="154" t="s">
        <v>490</v>
      </c>
      <c r="J41" s="154" t="s">
        <v>491</v>
      </c>
      <c r="K41" s="154" t="s">
        <v>487</v>
      </c>
      <c r="L41" s="154" t="s">
        <v>491</v>
      </c>
      <c r="M41" s="154" t="s">
        <v>491</v>
      </c>
      <c r="N41" s="154"/>
      <c r="O41" s="154"/>
      <c r="P41" t="s">
        <v>72</v>
      </c>
      <c r="Q41" t="s">
        <v>72</v>
      </c>
      <c r="R41">
        <v>50</v>
      </c>
      <c r="S41">
        <v>22</v>
      </c>
      <c r="T41">
        <v>145</v>
      </c>
      <c r="U41">
        <v>0</v>
      </c>
      <c r="V41" t="s">
        <v>469</v>
      </c>
      <c r="W41" s="154"/>
      <c r="X41" s="154" t="s">
        <v>393</v>
      </c>
      <c r="Y41" s="154" t="s">
        <v>393</v>
      </c>
      <c r="Z41">
        <v>0</v>
      </c>
      <c r="AB41">
        <v>145</v>
      </c>
      <c r="AH41">
        <v>1</v>
      </c>
      <c r="AI41">
        <v>1</v>
      </c>
      <c r="AQ41">
        <v>1</v>
      </c>
      <c r="AS41">
        <v>50</v>
      </c>
      <c r="AU41">
        <v>22</v>
      </c>
      <c r="AV41">
        <v>1</v>
      </c>
      <c r="AW41" s="155">
        <v>45790</v>
      </c>
      <c r="AX41" s="155"/>
      <c r="AY41">
        <v>9003190090</v>
      </c>
      <c r="AZ41">
        <v>40</v>
      </c>
      <c r="BA41">
        <v>259</v>
      </c>
      <c r="BF41">
        <v>0</v>
      </c>
      <c r="BG41" t="s">
        <v>72</v>
      </c>
      <c r="BH41" t="s">
        <v>72</v>
      </c>
      <c r="BI41" t="s">
        <v>72</v>
      </c>
      <c r="BJ41" t="s">
        <v>72</v>
      </c>
      <c r="BU41" s="155">
        <v>45790</v>
      </c>
      <c r="BV41" s="155"/>
    </row>
    <row r="42" spans="1:74" x14ac:dyDescent="0.25">
      <c r="A42" t="s">
        <v>59</v>
      </c>
      <c r="B42" t="s">
        <v>330</v>
      </c>
      <c r="C42" t="s">
        <v>59</v>
      </c>
      <c r="D42" t="s">
        <v>330</v>
      </c>
      <c r="E42" t="s">
        <v>492</v>
      </c>
      <c r="G42" s="154"/>
      <c r="H42" s="154"/>
      <c r="I42" s="154" t="s">
        <v>493</v>
      </c>
      <c r="J42" s="154" t="s">
        <v>494</v>
      </c>
      <c r="K42" s="154" t="s">
        <v>487</v>
      </c>
      <c r="L42" s="154" t="s">
        <v>494</v>
      </c>
      <c r="M42" s="154" t="s">
        <v>494</v>
      </c>
      <c r="N42" s="154"/>
      <c r="O42" s="154"/>
      <c r="P42" t="s">
        <v>72</v>
      </c>
      <c r="Q42" t="s">
        <v>72</v>
      </c>
      <c r="R42">
        <v>50</v>
      </c>
      <c r="S42">
        <v>22</v>
      </c>
      <c r="T42">
        <v>145</v>
      </c>
      <c r="U42">
        <v>0</v>
      </c>
      <c r="V42" t="s">
        <v>469</v>
      </c>
      <c r="W42" s="154"/>
      <c r="X42" s="154" t="s">
        <v>419</v>
      </c>
      <c r="Y42" s="154" t="s">
        <v>419</v>
      </c>
      <c r="Z42">
        <v>0</v>
      </c>
      <c r="AB42">
        <v>145</v>
      </c>
      <c r="AH42">
        <v>1</v>
      </c>
      <c r="AI42">
        <v>1</v>
      </c>
      <c r="AQ42">
        <v>1</v>
      </c>
      <c r="AS42">
        <v>50</v>
      </c>
      <c r="AU42">
        <v>22</v>
      </c>
      <c r="AV42">
        <v>1</v>
      </c>
      <c r="AW42" s="155">
        <v>45790</v>
      </c>
      <c r="AX42" s="155"/>
      <c r="AY42">
        <v>9003190090</v>
      </c>
      <c r="AZ42">
        <v>40</v>
      </c>
      <c r="BA42">
        <v>259</v>
      </c>
      <c r="BF42">
        <v>0</v>
      </c>
      <c r="BG42" t="s">
        <v>72</v>
      </c>
      <c r="BH42" t="s">
        <v>72</v>
      </c>
      <c r="BI42" t="s">
        <v>72</v>
      </c>
      <c r="BJ42" t="s">
        <v>72</v>
      </c>
      <c r="BU42" s="155">
        <v>45790</v>
      </c>
      <c r="BV42" s="155"/>
    </row>
    <row r="43" spans="1:74" x14ac:dyDescent="0.25">
      <c r="A43" t="s">
        <v>59</v>
      </c>
      <c r="B43" t="s">
        <v>330</v>
      </c>
      <c r="C43" t="s">
        <v>59</v>
      </c>
      <c r="D43" t="s">
        <v>330</v>
      </c>
      <c r="E43" t="s">
        <v>495</v>
      </c>
      <c r="G43" s="154"/>
      <c r="H43" s="154"/>
      <c r="I43" s="154" t="s">
        <v>496</v>
      </c>
      <c r="J43" s="154" t="s">
        <v>497</v>
      </c>
      <c r="K43" s="154" t="s">
        <v>498</v>
      </c>
      <c r="L43" s="154" t="s">
        <v>497</v>
      </c>
      <c r="M43" s="154" t="s">
        <v>497</v>
      </c>
      <c r="N43" s="154"/>
      <c r="O43" s="154"/>
      <c r="P43" t="s">
        <v>72</v>
      </c>
      <c r="Q43" t="s">
        <v>72</v>
      </c>
      <c r="R43">
        <v>52</v>
      </c>
      <c r="S43">
        <v>20</v>
      </c>
      <c r="T43">
        <v>145</v>
      </c>
      <c r="U43">
        <v>0</v>
      </c>
      <c r="V43" t="s">
        <v>469</v>
      </c>
      <c r="W43" s="154"/>
      <c r="X43" s="154" t="s">
        <v>393</v>
      </c>
      <c r="Y43" s="154" t="s">
        <v>393</v>
      </c>
      <c r="Z43">
        <v>0</v>
      </c>
      <c r="AB43">
        <v>145</v>
      </c>
      <c r="AH43">
        <v>1</v>
      </c>
      <c r="AI43">
        <v>1</v>
      </c>
      <c r="AQ43">
        <v>1</v>
      </c>
      <c r="AS43">
        <v>52</v>
      </c>
      <c r="AU43">
        <v>20</v>
      </c>
      <c r="AV43">
        <v>1</v>
      </c>
      <c r="AW43" s="155">
        <v>45790</v>
      </c>
      <c r="AX43" s="155"/>
      <c r="AY43">
        <v>9003190090</v>
      </c>
      <c r="AZ43">
        <v>40</v>
      </c>
      <c r="BA43">
        <v>259</v>
      </c>
      <c r="BF43">
        <v>0</v>
      </c>
      <c r="BG43" t="s">
        <v>72</v>
      </c>
      <c r="BH43" t="s">
        <v>72</v>
      </c>
      <c r="BI43" t="s">
        <v>72</v>
      </c>
      <c r="BJ43" t="s">
        <v>72</v>
      </c>
      <c r="BU43" s="155">
        <v>45790</v>
      </c>
      <c r="BV43" s="155"/>
    </row>
    <row r="44" spans="1:74" x14ac:dyDescent="0.25">
      <c r="A44" t="s">
        <v>59</v>
      </c>
      <c r="B44" t="s">
        <v>330</v>
      </c>
      <c r="C44" t="s">
        <v>59</v>
      </c>
      <c r="D44" t="s">
        <v>330</v>
      </c>
      <c r="E44" t="s">
        <v>499</v>
      </c>
      <c r="G44" s="154"/>
      <c r="H44" s="154"/>
      <c r="I44" s="154" t="s">
        <v>500</v>
      </c>
      <c r="J44" s="154" t="s">
        <v>501</v>
      </c>
      <c r="K44" s="154" t="s">
        <v>498</v>
      </c>
      <c r="L44" s="154" t="s">
        <v>501</v>
      </c>
      <c r="M44" s="154" t="s">
        <v>501</v>
      </c>
      <c r="N44" s="154"/>
      <c r="O44" s="154"/>
      <c r="P44" t="s">
        <v>72</v>
      </c>
      <c r="Q44" t="s">
        <v>72</v>
      </c>
      <c r="R44">
        <v>52</v>
      </c>
      <c r="S44">
        <v>20</v>
      </c>
      <c r="T44">
        <v>145</v>
      </c>
      <c r="U44">
        <v>0</v>
      </c>
      <c r="V44" t="s">
        <v>469</v>
      </c>
      <c r="W44" s="154"/>
      <c r="X44" s="154" t="s">
        <v>419</v>
      </c>
      <c r="Y44" s="154" t="s">
        <v>419</v>
      </c>
      <c r="Z44">
        <v>0</v>
      </c>
      <c r="AB44">
        <v>145</v>
      </c>
      <c r="AH44">
        <v>1</v>
      </c>
      <c r="AI44">
        <v>1</v>
      </c>
      <c r="AQ44">
        <v>1</v>
      </c>
      <c r="AS44">
        <v>52</v>
      </c>
      <c r="AU44">
        <v>20</v>
      </c>
      <c r="AV44">
        <v>1</v>
      </c>
      <c r="AW44" s="155">
        <v>45790</v>
      </c>
      <c r="AX44" s="155"/>
      <c r="AY44">
        <v>9003190090</v>
      </c>
      <c r="AZ44">
        <v>40</v>
      </c>
      <c r="BA44">
        <v>259</v>
      </c>
      <c r="BF44">
        <v>0</v>
      </c>
      <c r="BG44" t="s">
        <v>72</v>
      </c>
      <c r="BH44" t="s">
        <v>72</v>
      </c>
      <c r="BI44" t="s">
        <v>72</v>
      </c>
      <c r="BJ44" t="s">
        <v>72</v>
      </c>
      <c r="BU44" s="155">
        <v>45790</v>
      </c>
      <c r="BV44" s="155"/>
    </row>
    <row r="45" spans="1:74" x14ac:dyDescent="0.25">
      <c r="A45" t="s">
        <v>59</v>
      </c>
      <c r="B45" t="s">
        <v>330</v>
      </c>
      <c r="C45" t="s">
        <v>59</v>
      </c>
      <c r="D45" t="s">
        <v>330</v>
      </c>
      <c r="E45" t="s">
        <v>502</v>
      </c>
      <c r="G45" s="154"/>
      <c r="H45" s="154"/>
      <c r="I45" s="154" t="s">
        <v>503</v>
      </c>
      <c r="J45" s="154" t="s">
        <v>504</v>
      </c>
      <c r="K45" s="154" t="s">
        <v>505</v>
      </c>
      <c r="L45" s="154" t="s">
        <v>504</v>
      </c>
      <c r="M45" s="154" t="s">
        <v>504</v>
      </c>
      <c r="N45" s="154"/>
      <c r="O45" s="154"/>
      <c r="P45" t="s">
        <v>72</v>
      </c>
      <c r="Q45" t="s">
        <v>72</v>
      </c>
      <c r="R45">
        <v>48</v>
      </c>
      <c r="S45">
        <v>22</v>
      </c>
      <c r="T45">
        <v>145</v>
      </c>
      <c r="U45">
        <v>0</v>
      </c>
      <c r="V45" t="s">
        <v>469</v>
      </c>
      <c r="W45" s="154"/>
      <c r="X45" s="154" t="s">
        <v>389</v>
      </c>
      <c r="Y45" s="154" t="s">
        <v>389</v>
      </c>
      <c r="Z45">
        <v>0</v>
      </c>
      <c r="AB45">
        <v>145</v>
      </c>
      <c r="AH45">
        <v>1</v>
      </c>
      <c r="AI45">
        <v>1</v>
      </c>
      <c r="AQ45">
        <v>1</v>
      </c>
      <c r="AS45">
        <v>48</v>
      </c>
      <c r="AU45">
        <v>22</v>
      </c>
      <c r="AV45">
        <v>1</v>
      </c>
      <c r="AW45" s="155">
        <v>45790</v>
      </c>
      <c r="AX45" s="155"/>
      <c r="AY45">
        <v>9003190090</v>
      </c>
      <c r="AZ45">
        <v>40</v>
      </c>
      <c r="BA45">
        <v>259</v>
      </c>
      <c r="BF45">
        <v>0</v>
      </c>
      <c r="BG45" t="s">
        <v>72</v>
      </c>
      <c r="BH45" t="s">
        <v>72</v>
      </c>
      <c r="BI45" t="s">
        <v>72</v>
      </c>
      <c r="BJ45" t="s">
        <v>72</v>
      </c>
      <c r="BU45" s="155">
        <v>45790</v>
      </c>
      <c r="BV45" s="155"/>
    </row>
    <row r="46" spans="1:74" x14ac:dyDescent="0.25">
      <c r="A46" t="s">
        <v>59</v>
      </c>
      <c r="B46" t="s">
        <v>330</v>
      </c>
      <c r="C46" t="s">
        <v>59</v>
      </c>
      <c r="D46" t="s">
        <v>330</v>
      </c>
      <c r="E46" t="s">
        <v>506</v>
      </c>
      <c r="G46" s="154"/>
      <c r="H46" s="154"/>
      <c r="I46" s="154" t="s">
        <v>507</v>
      </c>
      <c r="J46" s="154" t="s">
        <v>508</v>
      </c>
      <c r="K46" s="154" t="s">
        <v>505</v>
      </c>
      <c r="L46" s="154" t="s">
        <v>508</v>
      </c>
      <c r="M46" s="154" t="s">
        <v>508</v>
      </c>
      <c r="N46" s="154"/>
      <c r="O46" s="154"/>
      <c r="P46" t="s">
        <v>72</v>
      </c>
      <c r="Q46" t="s">
        <v>72</v>
      </c>
      <c r="R46">
        <v>48</v>
      </c>
      <c r="S46">
        <v>22</v>
      </c>
      <c r="T46">
        <v>145</v>
      </c>
      <c r="U46">
        <v>0</v>
      </c>
      <c r="V46" t="s">
        <v>469</v>
      </c>
      <c r="W46" s="154"/>
      <c r="X46" s="154" t="s">
        <v>393</v>
      </c>
      <c r="Y46" s="154" t="s">
        <v>393</v>
      </c>
      <c r="Z46">
        <v>0</v>
      </c>
      <c r="AB46">
        <v>145</v>
      </c>
      <c r="AH46">
        <v>1</v>
      </c>
      <c r="AI46">
        <v>1</v>
      </c>
      <c r="AQ46">
        <v>1</v>
      </c>
      <c r="AS46">
        <v>48</v>
      </c>
      <c r="AU46">
        <v>22</v>
      </c>
      <c r="AV46">
        <v>1</v>
      </c>
      <c r="AW46" s="155">
        <v>45790</v>
      </c>
      <c r="AX46" s="155"/>
      <c r="AY46">
        <v>9003190090</v>
      </c>
      <c r="AZ46">
        <v>40</v>
      </c>
      <c r="BA46">
        <v>259</v>
      </c>
      <c r="BF46">
        <v>0</v>
      </c>
      <c r="BG46" t="s">
        <v>72</v>
      </c>
      <c r="BH46" t="s">
        <v>72</v>
      </c>
      <c r="BI46" t="s">
        <v>72</v>
      </c>
      <c r="BJ46" t="s">
        <v>72</v>
      </c>
      <c r="BU46" s="155">
        <v>45790</v>
      </c>
      <c r="BV46" s="155"/>
    </row>
    <row r="47" spans="1:74" x14ac:dyDescent="0.25">
      <c r="A47" t="s">
        <v>59</v>
      </c>
      <c r="B47" t="s">
        <v>330</v>
      </c>
      <c r="C47" t="s">
        <v>59</v>
      </c>
      <c r="D47" t="s">
        <v>330</v>
      </c>
      <c r="E47" t="s">
        <v>509</v>
      </c>
      <c r="G47" s="154"/>
      <c r="H47" s="154"/>
      <c r="I47" s="154" t="s">
        <v>510</v>
      </c>
      <c r="J47" s="154" t="s">
        <v>511</v>
      </c>
      <c r="K47" s="154" t="s">
        <v>512</v>
      </c>
      <c r="L47" s="154" t="s">
        <v>511</v>
      </c>
      <c r="M47" s="154" t="s">
        <v>511</v>
      </c>
      <c r="N47" s="154"/>
      <c r="O47" s="154"/>
      <c r="P47" t="s">
        <v>72</v>
      </c>
      <c r="Q47" t="s">
        <v>72</v>
      </c>
      <c r="R47">
        <v>47</v>
      </c>
      <c r="S47">
        <v>22</v>
      </c>
      <c r="T47">
        <v>145</v>
      </c>
      <c r="U47">
        <v>0</v>
      </c>
      <c r="V47" t="s">
        <v>469</v>
      </c>
      <c r="W47" s="154"/>
      <c r="X47" s="154" t="s">
        <v>480</v>
      </c>
      <c r="Y47" s="154" t="s">
        <v>480</v>
      </c>
      <c r="Z47">
        <v>0</v>
      </c>
      <c r="AB47">
        <v>145</v>
      </c>
      <c r="AH47">
        <v>1</v>
      </c>
      <c r="AI47">
        <v>1</v>
      </c>
      <c r="AQ47">
        <v>1</v>
      </c>
      <c r="AS47">
        <v>47</v>
      </c>
      <c r="AU47">
        <v>22</v>
      </c>
      <c r="AV47">
        <v>1</v>
      </c>
      <c r="AW47" s="155">
        <v>45790</v>
      </c>
      <c r="AX47" s="155"/>
      <c r="AY47">
        <v>9003190090</v>
      </c>
      <c r="AZ47">
        <v>40</v>
      </c>
      <c r="BA47">
        <v>259</v>
      </c>
      <c r="BF47">
        <v>0</v>
      </c>
      <c r="BG47" t="s">
        <v>72</v>
      </c>
      <c r="BH47" t="s">
        <v>72</v>
      </c>
      <c r="BI47" t="s">
        <v>72</v>
      </c>
      <c r="BJ47" t="s">
        <v>72</v>
      </c>
      <c r="BU47" s="155">
        <v>45790</v>
      </c>
      <c r="BV47" s="155"/>
    </row>
    <row r="48" spans="1:74" x14ac:dyDescent="0.25">
      <c r="A48" t="s">
        <v>59</v>
      </c>
      <c r="B48" t="s">
        <v>330</v>
      </c>
      <c r="C48" t="s">
        <v>59</v>
      </c>
      <c r="D48" t="s">
        <v>330</v>
      </c>
      <c r="E48" t="s">
        <v>513</v>
      </c>
      <c r="G48" s="154"/>
      <c r="H48" s="154"/>
      <c r="I48" s="154" t="s">
        <v>514</v>
      </c>
      <c r="J48" s="154" t="s">
        <v>515</v>
      </c>
      <c r="K48" s="154" t="s">
        <v>512</v>
      </c>
      <c r="L48" s="154" t="s">
        <v>515</v>
      </c>
      <c r="M48" s="154" t="s">
        <v>515</v>
      </c>
      <c r="N48" s="154"/>
      <c r="O48" s="154"/>
      <c r="P48" t="s">
        <v>72</v>
      </c>
      <c r="Q48" t="s">
        <v>72</v>
      </c>
      <c r="R48">
        <v>47</v>
      </c>
      <c r="S48">
        <v>22</v>
      </c>
      <c r="T48">
        <v>145</v>
      </c>
      <c r="U48">
        <v>0</v>
      </c>
      <c r="V48" t="s">
        <v>469</v>
      </c>
      <c r="W48" s="154"/>
      <c r="X48" s="154" t="s">
        <v>516</v>
      </c>
      <c r="Y48" s="154" t="s">
        <v>516</v>
      </c>
      <c r="Z48">
        <v>0</v>
      </c>
      <c r="AB48">
        <v>145</v>
      </c>
      <c r="AH48">
        <v>1</v>
      </c>
      <c r="AI48">
        <v>1</v>
      </c>
      <c r="AQ48">
        <v>1</v>
      </c>
      <c r="AS48">
        <v>47</v>
      </c>
      <c r="AU48">
        <v>22</v>
      </c>
      <c r="AV48">
        <v>1</v>
      </c>
      <c r="AW48" s="155">
        <v>45790</v>
      </c>
      <c r="AX48" s="155"/>
      <c r="AY48">
        <v>9003190090</v>
      </c>
      <c r="AZ48">
        <v>40</v>
      </c>
      <c r="BA48">
        <v>259</v>
      </c>
      <c r="BF48">
        <v>0</v>
      </c>
      <c r="BG48" t="s">
        <v>72</v>
      </c>
      <c r="BH48" t="s">
        <v>72</v>
      </c>
      <c r="BI48" t="s">
        <v>72</v>
      </c>
      <c r="BJ48" t="s">
        <v>72</v>
      </c>
      <c r="BU48" s="155">
        <v>45790</v>
      </c>
      <c r="BV48" s="155"/>
    </row>
    <row r="49" spans="1:74" x14ac:dyDescent="0.25">
      <c r="A49" t="s">
        <v>59</v>
      </c>
      <c r="B49" t="s">
        <v>330</v>
      </c>
      <c r="C49" t="s">
        <v>59</v>
      </c>
      <c r="D49" t="s">
        <v>330</v>
      </c>
      <c r="E49" t="s">
        <v>517</v>
      </c>
      <c r="G49" s="154"/>
      <c r="H49" s="154"/>
      <c r="I49" s="154" t="s">
        <v>518</v>
      </c>
      <c r="J49" s="154" t="s">
        <v>519</v>
      </c>
      <c r="K49" s="154" t="s">
        <v>512</v>
      </c>
      <c r="L49" s="154" t="s">
        <v>519</v>
      </c>
      <c r="M49" s="154" t="s">
        <v>519</v>
      </c>
      <c r="N49" s="154"/>
      <c r="O49" s="154"/>
      <c r="P49" t="s">
        <v>72</v>
      </c>
      <c r="Q49" t="s">
        <v>72</v>
      </c>
      <c r="R49">
        <v>47</v>
      </c>
      <c r="S49">
        <v>22</v>
      </c>
      <c r="T49">
        <v>145</v>
      </c>
      <c r="U49">
        <v>0</v>
      </c>
      <c r="V49" t="s">
        <v>469</v>
      </c>
      <c r="W49" s="154"/>
      <c r="X49" s="154" t="s">
        <v>419</v>
      </c>
      <c r="Y49" s="154" t="s">
        <v>419</v>
      </c>
      <c r="Z49">
        <v>0</v>
      </c>
      <c r="AB49">
        <v>145</v>
      </c>
      <c r="AH49">
        <v>1</v>
      </c>
      <c r="AI49">
        <v>1</v>
      </c>
      <c r="AQ49">
        <v>1</v>
      </c>
      <c r="AS49">
        <v>47</v>
      </c>
      <c r="AU49">
        <v>22</v>
      </c>
      <c r="AV49">
        <v>1</v>
      </c>
      <c r="AW49" s="155">
        <v>45790</v>
      </c>
      <c r="AX49" s="155"/>
      <c r="AY49">
        <v>9003190090</v>
      </c>
      <c r="AZ49">
        <v>40</v>
      </c>
      <c r="BA49">
        <v>259</v>
      </c>
      <c r="BF49">
        <v>0</v>
      </c>
      <c r="BG49" t="s">
        <v>72</v>
      </c>
      <c r="BH49" t="s">
        <v>72</v>
      </c>
      <c r="BI49" t="s">
        <v>72</v>
      </c>
      <c r="BJ49" t="s">
        <v>72</v>
      </c>
      <c r="BU49" s="155">
        <v>45790</v>
      </c>
      <c r="BV49" s="155"/>
    </row>
    <row r="50" spans="1:74" x14ac:dyDescent="0.25">
      <c r="A50" t="s">
        <v>59</v>
      </c>
      <c r="B50" t="s">
        <v>330</v>
      </c>
      <c r="C50" t="s">
        <v>59</v>
      </c>
      <c r="D50" t="s">
        <v>330</v>
      </c>
      <c r="E50" t="s">
        <v>520</v>
      </c>
      <c r="G50" s="154"/>
      <c r="H50" s="154"/>
      <c r="I50" s="154" t="s">
        <v>521</v>
      </c>
      <c r="J50" s="154" t="s">
        <v>522</v>
      </c>
      <c r="K50" s="154" t="s">
        <v>523</v>
      </c>
      <c r="L50" s="154" t="s">
        <v>522</v>
      </c>
      <c r="M50" s="154" t="s">
        <v>522</v>
      </c>
      <c r="N50" s="154"/>
      <c r="O50" s="154"/>
      <c r="P50" t="s">
        <v>72</v>
      </c>
      <c r="Q50" t="s">
        <v>72</v>
      </c>
      <c r="R50">
        <v>44</v>
      </c>
      <c r="S50">
        <v>23</v>
      </c>
      <c r="T50">
        <v>145</v>
      </c>
      <c r="U50">
        <v>0</v>
      </c>
      <c r="V50" t="s">
        <v>469</v>
      </c>
      <c r="W50" s="154"/>
      <c r="X50" s="154" t="s">
        <v>133</v>
      </c>
      <c r="Y50" s="154" t="s">
        <v>133</v>
      </c>
      <c r="Z50">
        <v>0</v>
      </c>
      <c r="AB50">
        <v>145</v>
      </c>
      <c r="AH50">
        <v>1</v>
      </c>
      <c r="AI50">
        <v>1</v>
      </c>
      <c r="AQ50">
        <v>1</v>
      </c>
      <c r="AS50">
        <v>44</v>
      </c>
      <c r="AU50">
        <v>23</v>
      </c>
      <c r="AV50">
        <v>1</v>
      </c>
      <c r="AW50" s="155">
        <v>45790</v>
      </c>
      <c r="AX50" s="155"/>
      <c r="AY50">
        <v>9003190090</v>
      </c>
      <c r="AZ50">
        <v>40</v>
      </c>
      <c r="BA50">
        <v>259</v>
      </c>
      <c r="BF50">
        <v>0</v>
      </c>
      <c r="BG50" t="s">
        <v>72</v>
      </c>
      <c r="BH50" t="s">
        <v>72</v>
      </c>
      <c r="BI50" t="s">
        <v>72</v>
      </c>
      <c r="BJ50" t="s">
        <v>72</v>
      </c>
      <c r="BU50" s="155">
        <v>45790</v>
      </c>
      <c r="BV50" s="155"/>
    </row>
    <row r="51" spans="1:74" x14ac:dyDescent="0.25">
      <c r="A51" t="s">
        <v>59</v>
      </c>
      <c r="B51" t="s">
        <v>330</v>
      </c>
      <c r="C51" t="s">
        <v>59</v>
      </c>
      <c r="D51" t="s">
        <v>330</v>
      </c>
      <c r="E51" t="s">
        <v>524</v>
      </c>
      <c r="G51" s="154"/>
      <c r="H51" s="154"/>
      <c r="I51" s="154" t="s">
        <v>525</v>
      </c>
      <c r="J51" s="154" t="s">
        <v>526</v>
      </c>
      <c r="K51" s="154" t="s">
        <v>523</v>
      </c>
      <c r="L51" s="154" t="s">
        <v>526</v>
      </c>
      <c r="M51" s="154" t="s">
        <v>526</v>
      </c>
      <c r="N51" s="154"/>
      <c r="O51" s="154"/>
      <c r="P51" t="s">
        <v>72</v>
      </c>
      <c r="Q51" t="s">
        <v>72</v>
      </c>
      <c r="R51">
        <v>44</v>
      </c>
      <c r="S51">
        <v>23</v>
      </c>
      <c r="T51">
        <v>145</v>
      </c>
      <c r="U51">
        <v>0</v>
      </c>
      <c r="V51" t="s">
        <v>469</v>
      </c>
      <c r="W51" s="154"/>
      <c r="X51" s="154" t="s">
        <v>527</v>
      </c>
      <c r="Y51" s="154" t="s">
        <v>527</v>
      </c>
      <c r="Z51">
        <v>0</v>
      </c>
      <c r="AB51">
        <v>145</v>
      </c>
      <c r="AH51">
        <v>1</v>
      </c>
      <c r="AI51">
        <v>1</v>
      </c>
      <c r="AQ51">
        <v>1</v>
      </c>
      <c r="AS51">
        <v>44</v>
      </c>
      <c r="AU51">
        <v>23</v>
      </c>
      <c r="AV51">
        <v>1</v>
      </c>
      <c r="AW51" s="155">
        <v>45790</v>
      </c>
      <c r="AX51" s="155"/>
      <c r="AY51">
        <v>9003190090</v>
      </c>
      <c r="AZ51">
        <v>40</v>
      </c>
      <c r="BA51">
        <v>259</v>
      </c>
      <c r="BF51">
        <v>0</v>
      </c>
      <c r="BG51" t="s">
        <v>72</v>
      </c>
      <c r="BH51" t="s">
        <v>72</v>
      </c>
      <c r="BI51" t="s">
        <v>72</v>
      </c>
      <c r="BJ51" t="s">
        <v>72</v>
      </c>
      <c r="BU51" s="155">
        <v>45790</v>
      </c>
      <c r="BV51" s="155"/>
    </row>
    <row r="52" spans="1:74" x14ac:dyDescent="0.25">
      <c r="A52" t="s">
        <v>59</v>
      </c>
      <c r="B52" t="s">
        <v>330</v>
      </c>
      <c r="C52" t="s">
        <v>59</v>
      </c>
      <c r="D52" t="s">
        <v>330</v>
      </c>
      <c r="E52" t="s">
        <v>528</v>
      </c>
      <c r="G52" s="154"/>
      <c r="H52" s="154"/>
      <c r="I52" s="154" t="s">
        <v>529</v>
      </c>
      <c r="J52" s="154" t="s">
        <v>530</v>
      </c>
      <c r="K52" s="154" t="s">
        <v>523</v>
      </c>
      <c r="L52" s="154" t="s">
        <v>530</v>
      </c>
      <c r="M52" s="154" t="s">
        <v>530</v>
      </c>
      <c r="N52" s="154"/>
      <c r="O52" s="154"/>
      <c r="P52" t="s">
        <v>72</v>
      </c>
      <c r="Q52" t="s">
        <v>72</v>
      </c>
      <c r="R52">
        <v>44</v>
      </c>
      <c r="S52">
        <v>23</v>
      </c>
      <c r="T52">
        <v>145</v>
      </c>
      <c r="U52">
        <v>0</v>
      </c>
      <c r="V52" t="s">
        <v>469</v>
      </c>
      <c r="W52" s="154"/>
      <c r="X52" s="154" t="s">
        <v>480</v>
      </c>
      <c r="Y52" s="154" t="s">
        <v>480</v>
      </c>
      <c r="Z52">
        <v>0</v>
      </c>
      <c r="AB52">
        <v>145</v>
      </c>
      <c r="AH52">
        <v>1</v>
      </c>
      <c r="AI52">
        <v>1</v>
      </c>
      <c r="AQ52">
        <v>1</v>
      </c>
      <c r="AS52">
        <v>44</v>
      </c>
      <c r="AU52">
        <v>23</v>
      </c>
      <c r="AV52">
        <v>1</v>
      </c>
      <c r="AW52" s="155">
        <v>45790</v>
      </c>
      <c r="AX52" s="155"/>
      <c r="AY52">
        <v>9003190090</v>
      </c>
      <c r="AZ52">
        <v>40</v>
      </c>
      <c r="BA52">
        <v>259</v>
      </c>
      <c r="BF52">
        <v>0</v>
      </c>
      <c r="BG52" t="s">
        <v>72</v>
      </c>
      <c r="BH52" t="s">
        <v>72</v>
      </c>
      <c r="BI52" t="s">
        <v>72</v>
      </c>
      <c r="BJ52" t="s">
        <v>72</v>
      </c>
      <c r="BU52" s="155">
        <v>45790</v>
      </c>
      <c r="BV52" s="155"/>
    </row>
    <row r="53" spans="1:74" x14ac:dyDescent="0.25">
      <c r="A53" t="s">
        <v>59</v>
      </c>
      <c r="B53" t="s">
        <v>330</v>
      </c>
      <c r="C53" t="s">
        <v>59</v>
      </c>
      <c r="D53" t="s">
        <v>330</v>
      </c>
      <c r="E53" t="s">
        <v>531</v>
      </c>
      <c r="G53" s="154"/>
      <c r="H53" s="154"/>
      <c r="I53" s="154" t="s">
        <v>532</v>
      </c>
      <c r="J53" s="154" t="s">
        <v>533</v>
      </c>
      <c r="K53" s="154" t="s">
        <v>534</v>
      </c>
      <c r="L53" s="154" t="s">
        <v>533</v>
      </c>
      <c r="M53" s="154" t="s">
        <v>533</v>
      </c>
      <c r="N53" s="154"/>
      <c r="O53" s="154"/>
      <c r="P53" t="s">
        <v>72</v>
      </c>
      <c r="Q53" t="s">
        <v>72</v>
      </c>
      <c r="R53">
        <v>46</v>
      </c>
      <c r="S53">
        <v>24</v>
      </c>
      <c r="T53">
        <v>145</v>
      </c>
      <c r="U53">
        <v>0</v>
      </c>
      <c r="V53" t="s">
        <v>469</v>
      </c>
      <c r="W53" s="154"/>
      <c r="X53" s="154" t="s">
        <v>389</v>
      </c>
      <c r="Y53" s="154" t="s">
        <v>389</v>
      </c>
      <c r="Z53">
        <v>0</v>
      </c>
      <c r="AB53">
        <v>145</v>
      </c>
      <c r="AH53">
        <v>1</v>
      </c>
      <c r="AI53">
        <v>1</v>
      </c>
      <c r="AQ53">
        <v>1</v>
      </c>
      <c r="AS53">
        <v>46</v>
      </c>
      <c r="AU53">
        <v>24</v>
      </c>
      <c r="AV53">
        <v>1</v>
      </c>
      <c r="AW53" s="155">
        <v>45790</v>
      </c>
      <c r="AX53" s="155"/>
      <c r="AY53">
        <v>9003190090</v>
      </c>
      <c r="AZ53">
        <v>40</v>
      </c>
      <c r="BA53">
        <v>259</v>
      </c>
      <c r="BF53">
        <v>0</v>
      </c>
      <c r="BG53" t="s">
        <v>72</v>
      </c>
      <c r="BH53" t="s">
        <v>72</v>
      </c>
      <c r="BI53" t="s">
        <v>72</v>
      </c>
      <c r="BJ53" t="s">
        <v>72</v>
      </c>
      <c r="BU53" s="155">
        <v>45790</v>
      </c>
      <c r="BV53" s="155"/>
    </row>
    <row r="54" spans="1:74" x14ac:dyDescent="0.25">
      <c r="A54" t="s">
        <v>59</v>
      </c>
      <c r="B54" t="s">
        <v>330</v>
      </c>
      <c r="C54" t="s">
        <v>59</v>
      </c>
      <c r="D54" t="s">
        <v>330</v>
      </c>
      <c r="E54" t="s">
        <v>535</v>
      </c>
      <c r="G54" s="154"/>
      <c r="H54" s="154"/>
      <c r="I54" s="154" t="s">
        <v>536</v>
      </c>
      <c r="J54" s="154" t="s">
        <v>537</v>
      </c>
      <c r="K54" s="154" t="s">
        <v>534</v>
      </c>
      <c r="L54" s="154" t="s">
        <v>537</v>
      </c>
      <c r="M54" s="154" t="s">
        <v>537</v>
      </c>
      <c r="N54" s="154"/>
      <c r="O54" s="154"/>
      <c r="P54" t="s">
        <v>72</v>
      </c>
      <c r="Q54" t="s">
        <v>72</v>
      </c>
      <c r="R54">
        <v>46</v>
      </c>
      <c r="S54">
        <v>24</v>
      </c>
      <c r="T54">
        <v>145</v>
      </c>
      <c r="U54">
        <v>0</v>
      </c>
      <c r="V54" t="s">
        <v>469</v>
      </c>
      <c r="W54" s="154"/>
      <c r="X54" s="154" t="s">
        <v>516</v>
      </c>
      <c r="Y54" s="154" t="s">
        <v>516</v>
      </c>
      <c r="Z54">
        <v>0</v>
      </c>
      <c r="AB54">
        <v>145</v>
      </c>
      <c r="AH54">
        <v>1</v>
      </c>
      <c r="AI54">
        <v>1</v>
      </c>
      <c r="AQ54">
        <v>1</v>
      </c>
      <c r="AS54">
        <v>46</v>
      </c>
      <c r="AU54">
        <v>24</v>
      </c>
      <c r="AV54">
        <v>1</v>
      </c>
      <c r="AW54" s="155">
        <v>45790</v>
      </c>
      <c r="AX54" s="155"/>
      <c r="AY54">
        <v>9003190090</v>
      </c>
      <c r="AZ54">
        <v>40</v>
      </c>
      <c r="BA54">
        <v>259</v>
      </c>
      <c r="BF54">
        <v>0</v>
      </c>
      <c r="BG54" t="s">
        <v>72</v>
      </c>
      <c r="BH54" t="s">
        <v>72</v>
      </c>
      <c r="BI54" t="s">
        <v>72</v>
      </c>
      <c r="BJ54" t="s">
        <v>72</v>
      </c>
      <c r="BU54" s="155">
        <v>45790</v>
      </c>
      <c r="BV54" s="155"/>
    </row>
    <row r="55" spans="1:74" x14ac:dyDescent="0.25">
      <c r="A55" t="s">
        <v>59</v>
      </c>
      <c r="B55" t="s">
        <v>330</v>
      </c>
      <c r="C55" t="s">
        <v>59</v>
      </c>
      <c r="D55" t="s">
        <v>330</v>
      </c>
      <c r="E55" t="s">
        <v>538</v>
      </c>
      <c r="G55" s="154"/>
      <c r="H55" s="154"/>
      <c r="I55" s="154" t="s">
        <v>539</v>
      </c>
      <c r="J55" s="154" t="s">
        <v>540</v>
      </c>
      <c r="K55" s="154" t="s">
        <v>541</v>
      </c>
      <c r="L55" s="154" t="s">
        <v>540</v>
      </c>
      <c r="M55" s="154" t="s">
        <v>540</v>
      </c>
      <c r="N55" s="154"/>
      <c r="O55" s="154"/>
      <c r="P55" t="s">
        <v>72</v>
      </c>
      <c r="Q55" t="s">
        <v>72</v>
      </c>
      <c r="R55">
        <v>48</v>
      </c>
      <c r="S55">
        <v>24</v>
      </c>
      <c r="T55">
        <v>145</v>
      </c>
      <c r="U55">
        <v>0</v>
      </c>
      <c r="V55" t="s">
        <v>469</v>
      </c>
      <c r="W55" s="154"/>
      <c r="X55" s="154" t="s">
        <v>480</v>
      </c>
      <c r="Y55" s="154" t="s">
        <v>480</v>
      </c>
      <c r="Z55">
        <v>0</v>
      </c>
      <c r="AB55">
        <v>145</v>
      </c>
      <c r="AH55">
        <v>1</v>
      </c>
      <c r="AI55">
        <v>1</v>
      </c>
      <c r="AQ55">
        <v>1</v>
      </c>
      <c r="AS55">
        <v>48</v>
      </c>
      <c r="AU55">
        <v>24</v>
      </c>
      <c r="AV55">
        <v>1</v>
      </c>
      <c r="AW55" s="155">
        <v>45790</v>
      </c>
      <c r="AX55" s="155"/>
      <c r="AY55">
        <v>9003190090</v>
      </c>
      <c r="AZ55">
        <v>40</v>
      </c>
      <c r="BA55">
        <v>259</v>
      </c>
      <c r="BF55">
        <v>0</v>
      </c>
      <c r="BG55" t="s">
        <v>72</v>
      </c>
      <c r="BH55" t="s">
        <v>72</v>
      </c>
      <c r="BI55" t="s">
        <v>72</v>
      </c>
      <c r="BJ55" t="s">
        <v>72</v>
      </c>
      <c r="BU55" s="155">
        <v>45790</v>
      </c>
      <c r="BV55" s="155"/>
    </row>
    <row r="56" spans="1:74" x14ac:dyDescent="0.25">
      <c r="A56" t="s">
        <v>59</v>
      </c>
      <c r="B56" t="s">
        <v>330</v>
      </c>
      <c r="C56" t="s">
        <v>59</v>
      </c>
      <c r="D56" t="s">
        <v>330</v>
      </c>
      <c r="E56" t="s">
        <v>542</v>
      </c>
      <c r="G56" s="154"/>
      <c r="H56" s="154"/>
      <c r="I56" s="154" t="s">
        <v>543</v>
      </c>
      <c r="J56" s="154" t="s">
        <v>544</v>
      </c>
      <c r="K56" s="154" t="s">
        <v>541</v>
      </c>
      <c r="L56" s="154" t="s">
        <v>544</v>
      </c>
      <c r="M56" s="154" t="s">
        <v>544</v>
      </c>
      <c r="N56" s="154"/>
      <c r="O56" s="154"/>
      <c r="P56" t="s">
        <v>72</v>
      </c>
      <c r="Q56" t="s">
        <v>72</v>
      </c>
      <c r="R56">
        <v>48</v>
      </c>
      <c r="S56">
        <v>24</v>
      </c>
      <c r="T56">
        <v>145</v>
      </c>
      <c r="U56">
        <v>0</v>
      </c>
      <c r="V56" t="s">
        <v>469</v>
      </c>
      <c r="W56" s="154"/>
      <c r="X56" s="154" t="s">
        <v>527</v>
      </c>
      <c r="Y56" s="154" t="s">
        <v>527</v>
      </c>
      <c r="Z56">
        <v>0</v>
      </c>
      <c r="AB56">
        <v>145</v>
      </c>
      <c r="AH56">
        <v>1</v>
      </c>
      <c r="AI56">
        <v>1</v>
      </c>
      <c r="AQ56">
        <v>1</v>
      </c>
      <c r="AS56">
        <v>48</v>
      </c>
      <c r="AU56">
        <v>24</v>
      </c>
      <c r="AV56">
        <v>1</v>
      </c>
      <c r="AW56" s="155">
        <v>45790</v>
      </c>
      <c r="AX56" s="155"/>
      <c r="AY56">
        <v>9003190090</v>
      </c>
      <c r="AZ56">
        <v>40</v>
      </c>
      <c r="BA56">
        <v>259</v>
      </c>
      <c r="BF56">
        <v>0</v>
      </c>
      <c r="BG56" t="s">
        <v>72</v>
      </c>
      <c r="BH56" t="s">
        <v>72</v>
      </c>
      <c r="BI56" t="s">
        <v>72</v>
      </c>
      <c r="BJ56" t="s">
        <v>72</v>
      </c>
      <c r="BU56" s="155">
        <v>45790</v>
      </c>
      <c r="BV56" s="155"/>
    </row>
    <row r="57" spans="1:74" x14ac:dyDescent="0.25">
      <c r="A57" t="s">
        <v>59</v>
      </c>
      <c r="B57" t="s">
        <v>330</v>
      </c>
      <c r="C57" t="s">
        <v>59</v>
      </c>
      <c r="D57" t="s">
        <v>330</v>
      </c>
      <c r="E57" t="s">
        <v>545</v>
      </c>
      <c r="G57" s="154"/>
      <c r="H57" s="154"/>
      <c r="I57" s="154" t="s">
        <v>546</v>
      </c>
      <c r="J57" s="154" t="s">
        <v>547</v>
      </c>
      <c r="K57" s="154" t="s">
        <v>548</v>
      </c>
      <c r="L57" s="154" t="s">
        <v>547</v>
      </c>
      <c r="M57" s="154" t="s">
        <v>547</v>
      </c>
      <c r="N57" s="154"/>
      <c r="O57" s="154"/>
      <c r="P57" t="s">
        <v>72</v>
      </c>
      <c r="Q57" t="s">
        <v>72</v>
      </c>
      <c r="R57">
        <v>50</v>
      </c>
      <c r="S57">
        <v>19</v>
      </c>
      <c r="T57">
        <v>145</v>
      </c>
      <c r="U57">
        <v>0</v>
      </c>
      <c r="V57" t="s">
        <v>469</v>
      </c>
      <c r="W57" s="154"/>
      <c r="X57" s="154" t="s">
        <v>389</v>
      </c>
      <c r="Y57" s="154" t="s">
        <v>389</v>
      </c>
      <c r="Z57">
        <v>0</v>
      </c>
      <c r="AB57">
        <v>145</v>
      </c>
      <c r="AH57">
        <v>1</v>
      </c>
      <c r="AI57">
        <v>1</v>
      </c>
      <c r="AQ57">
        <v>1</v>
      </c>
      <c r="AS57">
        <v>50</v>
      </c>
      <c r="AU57">
        <v>19</v>
      </c>
      <c r="AV57">
        <v>1</v>
      </c>
      <c r="AW57" s="155">
        <v>45790</v>
      </c>
      <c r="AX57" s="155"/>
      <c r="AY57">
        <v>9003190090</v>
      </c>
      <c r="AZ57">
        <v>40</v>
      </c>
      <c r="BA57">
        <v>259</v>
      </c>
      <c r="BF57">
        <v>0</v>
      </c>
      <c r="BG57" t="s">
        <v>72</v>
      </c>
      <c r="BH57" t="s">
        <v>72</v>
      </c>
      <c r="BI57" t="s">
        <v>72</v>
      </c>
      <c r="BJ57" t="s">
        <v>72</v>
      </c>
      <c r="BU57" s="155">
        <v>45790</v>
      </c>
      <c r="BV57" s="155"/>
    </row>
    <row r="58" spans="1:74" x14ac:dyDescent="0.25">
      <c r="A58" t="s">
        <v>59</v>
      </c>
      <c r="B58" t="s">
        <v>330</v>
      </c>
      <c r="C58" t="s">
        <v>59</v>
      </c>
      <c r="D58" t="s">
        <v>330</v>
      </c>
      <c r="E58" t="s">
        <v>549</v>
      </c>
      <c r="G58" s="154"/>
      <c r="H58" s="154"/>
      <c r="I58" s="154" t="s">
        <v>550</v>
      </c>
      <c r="J58" s="154" t="s">
        <v>551</v>
      </c>
      <c r="K58" s="154" t="s">
        <v>548</v>
      </c>
      <c r="L58" s="154" t="s">
        <v>551</v>
      </c>
      <c r="M58" s="154" t="s">
        <v>551</v>
      </c>
      <c r="N58" s="154"/>
      <c r="O58" s="154"/>
      <c r="P58" t="s">
        <v>72</v>
      </c>
      <c r="Q58" t="s">
        <v>72</v>
      </c>
      <c r="R58">
        <v>50</v>
      </c>
      <c r="S58">
        <v>19</v>
      </c>
      <c r="T58">
        <v>145</v>
      </c>
      <c r="U58">
        <v>0</v>
      </c>
      <c r="V58" t="s">
        <v>469</v>
      </c>
      <c r="W58" s="154"/>
      <c r="X58" s="154" t="s">
        <v>516</v>
      </c>
      <c r="Y58" s="154" t="s">
        <v>516</v>
      </c>
      <c r="Z58">
        <v>0</v>
      </c>
      <c r="AB58">
        <v>145</v>
      </c>
      <c r="AH58">
        <v>1</v>
      </c>
      <c r="AI58">
        <v>1</v>
      </c>
      <c r="AQ58">
        <v>1</v>
      </c>
      <c r="AS58">
        <v>50</v>
      </c>
      <c r="AU58">
        <v>19</v>
      </c>
      <c r="AV58">
        <v>1</v>
      </c>
      <c r="AW58" s="155">
        <v>45790</v>
      </c>
      <c r="AX58" s="155"/>
      <c r="AY58">
        <v>9003190090</v>
      </c>
      <c r="AZ58">
        <v>40</v>
      </c>
      <c r="BA58">
        <v>259</v>
      </c>
      <c r="BF58">
        <v>0</v>
      </c>
      <c r="BG58" t="s">
        <v>72</v>
      </c>
      <c r="BH58" t="s">
        <v>72</v>
      </c>
      <c r="BI58" t="s">
        <v>72</v>
      </c>
      <c r="BJ58" t="s">
        <v>72</v>
      </c>
      <c r="BU58" s="155">
        <v>45790</v>
      </c>
      <c r="BV58" s="155"/>
    </row>
    <row r="59" spans="1:74" x14ac:dyDescent="0.25">
      <c r="A59" t="s">
        <v>59</v>
      </c>
      <c r="B59" t="s">
        <v>330</v>
      </c>
      <c r="C59" t="s">
        <v>59</v>
      </c>
      <c r="D59" t="s">
        <v>330</v>
      </c>
      <c r="E59" t="s">
        <v>552</v>
      </c>
      <c r="G59" s="154"/>
      <c r="H59" s="154"/>
      <c r="I59" s="154" t="s">
        <v>553</v>
      </c>
      <c r="J59" s="154" t="s">
        <v>554</v>
      </c>
      <c r="K59" s="154" t="s">
        <v>555</v>
      </c>
      <c r="L59" s="154" t="s">
        <v>554</v>
      </c>
      <c r="M59" s="154" t="s">
        <v>554</v>
      </c>
      <c r="N59" s="154"/>
      <c r="O59" s="154"/>
      <c r="P59" t="s">
        <v>453</v>
      </c>
      <c r="Q59" t="s">
        <v>72</v>
      </c>
      <c r="R59">
        <v>61</v>
      </c>
      <c r="S59">
        <v>18</v>
      </c>
      <c r="T59">
        <v>125</v>
      </c>
      <c r="U59">
        <v>0</v>
      </c>
      <c r="V59" t="s">
        <v>556</v>
      </c>
      <c r="W59" s="154"/>
      <c r="X59" s="154" t="s">
        <v>419</v>
      </c>
      <c r="Y59" s="154" t="s">
        <v>419</v>
      </c>
      <c r="Z59">
        <v>0</v>
      </c>
      <c r="AB59">
        <v>125</v>
      </c>
      <c r="AH59">
        <v>1</v>
      </c>
      <c r="AI59">
        <v>1</v>
      </c>
      <c r="AL59">
        <v>3</v>
      </c>
      <c r="AM59">
        <v>1</v>
      </c>
      <c r="AQ59">
        <v>1</v>
      </c>
      <c r="AS59">
        <v>61</v>
      </c>
      <c r="AU59">
        <v>18</v>
      </c>
      <c r="AV59">
        <v>1</v>
      </c>
      <c r="AW59" s="155">
        <v>45790</v>
      </c>
      <c r="AX59" s="155"/>
      <c r="AY59">
        <v>9003190090</v>
      </c>
      <c r="AZ59">
        <v>15</v>
      </c>
      <c r="BA59">
        <v>79</v>
      </c>
      <c r="BF59">
        <v>0</v>
      </c>
      <c r="BG59" t="s">
        <v>72</v>
      </c>
      <c r="BH59" t="s">
        <v>72</v>
      </c>
      <c r="BI59" t="s">
        <v>72</v>
      </c>
      <c r="BJ59" t="s">
        <v>72</v>
      </c>
      <c r="BU59" s="155">
        <v>45790</v>
      </c>
      <c r="BV59" s="155"/>
    </row>
    <row r="60" spans="1:74" x14ac:dyDescent="0.25">
      <c r="A60" t="s">
        <v>59</v>
      </c>
      <c r="B60" t="s">
        <v>330</v>
      </c>
      <c r="C60" t="s">
        <v>59</v>
      </c>
      <c r="D60" t="s">
        <v>330</v>
      </c>
      <c r="E60" t="s">
        <v>557</v>
      </c>
      <c r="G60" s="154"/>
      <c r="H60" s="154"/>
      <c r="I60" s="154" t="s">
        <v>558</v>
      </c>
      <c r="J60" s="154" t="s">
        <v>559</v>
      </c>
      <c r="K60" s="154" t="s">
        <v>560</v>
      </c>
      <c r="L60" s="154" t="s">
        <v>559</v>
      </c>
      <c r="M60" s="154" t="s">
        <v>559</v>
      </c>
      <c r="N60" s="154"/>
      <c r="O60" s="154"/>
      <c r="P60" t="s">
        <v>453</v>
      </c>
      <c r="Q60" t="s">
        <v>72</v>
      </c>
      <c r="R60">
        <v>53</v>
      </c>
      <c r="S60">
        <v>17</v>
      </c>
      <c r="T60">
        <v>135</v>
      </c>
      <c r="U60">
        <v>0</v>
      </c>
      <c r="V60" t="s">
        <v>556</v>
      </c>
      <c r="W60" s="154"/>
      <c r="X60" s="154" t="s">
        <v>352</v>
      </c>
      <c r="Y60" s="154" t="s">
        <v>352</v>
      </c>
      <c r="Z60">
        <v>0</v>
      </c>
      <c r="AB60">
        <v>135</v>
      </c>
      <c r="AH60">
        <v>1</v>
      </c>
      <c r="AI60">
        <v>1</v>
      </c>
      <c r="AL60">
        <v>3</v>
      </c>
      <c r="AM60">
        <v>1</v>
      </c>
      <c r="AQ60">
        <v>1</v>
      </c>
      <c r="AS60">
        <v>53</v>
      </c>
      <c r="AU60">
        <v>17</v>
      </c>
      <c r="AV60">
        <v>1</v>
      </c>
      <c r="AW60" s="155">
        <v>45790</v>
      </c>
      <c r="AX60" s="155"/>
      <c r="AY60">
        <v>9003190090</v>
      </c>
      <c r="AZ60">
        <v>15</v>
      </c>
      <c r="BA60">
        <v>79</v>
      </c>
      <c r="BF60">
        <v>0</v>
      </c>
      <c r="BG60" t="s">
        <v>72</v>
      </c>
      <c r="BH60" t="s">
        <v>72</v>
      </c>
      <c r="BI60" t="s">
        <v>453</v>
      </c>
      <c r="BJ60" t="s">
        <v>72</v>
      </c>
      <c r="BU60" s="155">
        <v>45790</v>
      </c>
      <c r="BV60" s="155"/>
    </row>
    <row r="61" spans="1:74" x14ac:dyDescent="0.25">
      <c r="A61" t="s">
        <v>59</v>
      </c>
      <c r="B61" t="s">
        <v>330</v>
      </c>
      <c r="C61" t="s">
        <v>59</v>
      </c>
      <c r="D61" t="s">
        <v>330</v>
      </c>
      <c r="E61" t="s">
        <v>561</v>
      </c>
      <c r="G61" s="154"/>
      <c r="H61" s="154"/>
      <c r="I61" s="154" t="s">
        <v>562</v>
      </c>
      <c r="J61" s="154" t="s">
        <v>563</v>
      </c>
      <c r="K61" s="154" t="s">
        <v>564</v>
      </c>
      <c r="L61" s="154" t="s">
        <v>563</v>
      </c>
      <c r="M61" s="154" t="s">
        <v>563</v>
      </c>
      <c r="N61" s="154"/>
      <c r="O61" s="154"/>
      <c r="P61" t="s">
        <v>453</v>
      </c>
      <c r="Q61" t="s">
        <v>72</v>
      </c>
      <c r="R61">
        <v>48</v>
      </c>
      <c r="S61">
        <v>17</v>
      </c>
      <c r="T61">
        <v>135</v>
      </c>
      <c r="U61">
        <v>0</v>
      </c>
      <c r="V61" t="s">
        <v>556</v>
      </c>
      <c r="W61" s="154"/>
      <c r="X61" s="154" t="s">
        <v>389</v>
      </c>
      <c r="Y61" s="154" t="s">
        <v>389</v>
      </c>
      <c r="Z61">
        <v>0</v>
      </c>
      <c r="AB61">
        <v>135</v>
      </c>
      <c r="AH61">
        <v>1</v>
      </c>
      <c r="AI61">
        <v>1</v>
      </c>
      <c r="AL61">
        <v>3</v>
      </c>
      <c r="AM61">
        <v>1</v>
      </c>
      <c r="AQ61">
        <v>1</v>
      </c>
      <c r="AS61">
        <v>48</v>
      </c>
      <c r="AU61">
        <v>17</v>
      </c>
      <c r="AV61">
        <v>1</v>
      </c>
      <c r="AW61" s="155">
        <v>45790</v>
      </c>
      <c r="AX61" s="155"/>
      <c r="AY61">
        <v>9003190090</v>
      </c>
      <c r="AZ61">
        <v>15</v>
      </c>
      <c r="BA61">
        <v>79</v>
      </c>
      <c r="BF61">
        <v>0</v>
      </c>
      <c r="BG61" t="s">
        <v>72</v>
      </c>
      <c r="BH61" t="s">
        <v>72</v>
      </c>
      <c r="BI61" t="s">
        <v>338</v>
      </c>
      <c r="BJ61" t="s">
        <v>72</v>
      </c>
      <c r="BU61" s="155">
        <v>45790</v>
      </c>
      <c r="BV61" s="155"/>
    </row>
    <row r="62" spans="1:74" x14ac:dyDescent="0.25">
      <c r="A62" t="s">
        <v>565</v>
      </c>
      <c r="B62" t="s">
        <v>565</v>
      </c>
      <c r="C62" t="s">
        <v>59</v>
      </c>
      <c r="D62" t="s">
        <v>330</v>
      </c>
      <c r="E62" t="s">
        <v>566</v>
      </c>
      <c r="G62" s="154"/>
      <c r="H62" s="154"/>
      <c r="I62" s="154" t="s">
        <v>567</v>
      </c>
      <c r="J62" s="154" t="s">
        <v>568</v>
      </c>
      <c r="K62" s="154" t="s">
        <v>569</v>
      </c>
      <c r="L62" s="154" t="s">
        <v>568</v>
      </c>
      <c r="M62" s="154" t="s">
        <v>568</v>
      </c>
      <c r="N62" s="154"/>
      <c r="O62" s="154"/>
      <c r="P62" t="s">
        <v>72</v>
      </c>
      <c r="Q62" t="s">
        <v>72</v>
      </c>
      <c r="R62">
        <v>49</v>
      </c>
      <c r="S62">
        <v>18</v>
      </c>
      <c r="T62">
        <v>135</v>
      </c>
      <c r="U62">
        <v>0</v>
      </c>
      <c r="V62" t="s">
        <v>570</v>
      </c>
      <c r="W62" s="154"/>
      <c r="X62" s="154" t="s">
        <v>571</v>
      </c>
      <c r="Y62" s="154" t="s">
        <v>571</v>
      </c>
      <c r="Z62">
        <v>0</v>
      </c>
      <c r="AB62">
        <v>135</v>
      </c>
      <c r="AH62">
        <v>1</v>
      </c>
      <c r="AI62">
        <v>1</v>
      </c>
      <c r="AQ62">
        <v>1</v>
      </c>
      <c r="AS62">
        <v>49</v>
      </c>
      <c r="AU62">
        <v>18</v>
      </c>
      <c r="AV62">
        <v>1</v>
      </c>
      <c r="AW62" s="155">
        <v>45790</v>
      </c>
      <c r="AX62" s="155"/>
      <c r="AY62">
        <v>9003190090</v>
      </c>
      <c r="AZ62">
        <v>27</v>
      </c>
      <c r="BA62">
        <v>129</v>
      </c>
      <c r="BF62">
        <v>0</v>
      </c>
      <c r="BG62" t="s">
        <v>358</v>
      </c>
      <c r="BH62" t="s">
        <v>358</v>
      </c>
      <c r="BI62" t="s">
        <v>453</v>
      </c>
      <c r="BJ62" t="s">
        <v>72</v>
      </c>
      <c r="BU62" s="155">
        <v>45790</v>
      </c>
      <c r="BV62" s="155"/>
    </row>
    <row r="63" spans="1:74" x14ac:dyDescent="0.25">
      <c r="A63" t="s">
        <v>565</v>
      </c>
      <c r="B63" t="s">
        <v>565</v>
      </c>
      <c r="C63" t="s">
        <v>59</v>
      </c>
      <c r="D63" t="s">
        <v>330</v>
      </c>
      <c r="E63" t="s">
        <v>572</v>
      </c>
      <c r="G63" s="154"/>
      <c r="H63" s="154"/>
      <c r="I63" s="154" t="s">
        <v>573</v>
      </c>
      <c r="J63" s="154" t="s">
        <v>574</v>
      </c>
      <c r="K63" s="154" t="s">
        <v>569</v>
      </c>
      <c r="L63" s="154" t="s">
        <v>574</v>
      </c>
      <c r="M63" s="154" t="s">
        <v>574</v>
      </c>
      <c r="N63" s="154"/>
      <c r="O63" s="154"/>
      <c r="P63" t="s">
        <v>72</v>
      </c>
      <c r="Q63" t="s">
        <v>72</v>
      </c>
      <c r="R63">
        <v>49</v>
      </c>
      <c r="S63">
        <v>18</v>
      </c>
      <c r="T63">
        <v>135</v>
      </c>
      <c r="U63">
        <v>0</v>
      </c>
      <c r="V63" t="s">
        <v>570</v>
      </c>
      <c r="W63" s="154"/>
      <c r="X63" s="154" t="s">
        <v>575</v>
      </c>
      <c r="Y63" s="154" t="s">
        <v>575</v>
      </c>
      <c r="Z63">
        <v>0</v>
      </c>
      <c r="AB63">
        <v>135</v>
      </c>
      <c r="AH63">
        <v>1</v>
      </c>
      <c r="AI63">
        <v>1</v>
      </c>
      <c r="AQ63">
        <v>1</v>
      </c>
      <c r="AS63">
        <v>49</v>
      </c>
      <c r="AU63">
        <v>18</v>
      </c>
      <c r="AV63">
        <v>1</v>
      </c>
      <c r="AW63" s="155">
        <v>45790</v>
      </c>
      <c r="AX63" s="155"/>
      <c r="AY63">
        <v>9003190090</v>
      </c>
      <c r="AZ63">
        <v>27</v>
      </c>
      <c r="BA63">
        <v>129</v>
      </c>
      <c r="BF63">
        <v>0</v>
      </c>
      <c r="BG63" t="s">
        <v>358</v>
      </c>
      <c r="BH63" t="s">
        <v>358</v>
      </c>
      <c r="BI63" t="s">
        <v>453</v>
      </c>
      <c r="BJ63" t="s">
        <v>72</v>
      </c>
      <c r="BU63" s="155">
        <v>45790</v>
      </c>
      <c r="BV63" s="155"/>
    </row>
    <row r="64" spans="1:74" x14ac:dyDescent="0.25">
      <c r="A64" t="s">
        <v>565</v>
      </c>
      <c r="B64" t="s">
        <v>565</v>
      </c>
      <c r="C64" t="s">
        <v>59</v>
      </c>
      <c r="D64" t="s">
        <v>330</v>
      </c>
      <c r="E64" t="s">
        <v>576</v>
      </c>
      <c r="G64" s="154"/>
      <c r="H64" s="154"/>
      <c r="I64" s="154" t="s">
        <v>577</v>
      </c>
      <c r="J64" s="154" t="s">
        <v>578</v>
      </c>
      <c r="K64" s="154" t="s">
        <v>569</v>
      </c>
      <c r="L64" s="154" t="s">
        <v>578</v>
      </c>
      <c r="M64" s="154" t="s">
        <v>578</v>
      </c>
      <c r="N64" s="154"/>
      <c r="O64" s="154"/>
      <c r="P64" t="s">
        <v>72</v>
      </c>
      <c r="Q64" t="s">
        <v>72</v>
      </c>
      <c r="R64">
        <v>49</v>
      </c>
      <c r="S64">
        <v>18</v>
      </c>
      <c r="T64">
        <v>135</v>
      </c>
      <c r="U64">
        <v>0</v>
      </c>
      <c r="V64" t="s">
        <v>570</v>
      </c>
      <c r="W64" s="154"/>
      <c r="X64" s="154" t="s">
        <v>579</v>
      </c>
      <c r="Y64" s="154" t="s">
        <v>579</v>
      </c>
      <c r="Z64">
        <v>0</v>
      </c>
      <c r="AB64">
        <v>135</v>
      </c>
      <c r="AH64">
        <v>1</v>
      </c>
      <c r="AI64">
        <v>1</v>
      </c>
      <c r="AQ64">
        <v>1</v>
      </c>
      <c r="AS64">
        <v>49</v>
      </c>
      <c r="AU64">
        <v>18</v>
      </c>
      <c r="AV64">
        <v>1</v>
      </c>
      <c r="AW64" s="155">
        <v>45790</v>
      </c>
      <c r="AX64" s="155"/>
      <c r="AY64">
        <v>9003190090</v>
      </c>
      <c r="AZ64">
        <v>27</v>
      </c>
      <c r="BA64">
        <v>129</v>
      </c>
      <c r="BF64">
        <v>0</v>
      </c>
      <c r="BG64" t="s">
        <v>358</v>
      </c>
      <c r="BH64" t="s">
        <v>358</v>
      </c>
      <c r="BI64" t="s">
        <v>453</v>
      </c>
      <c r="BJ64" t="s">
        <v>72</v>
      </c>
      <c r="BU64" s="155">
        <v>45790</v>
      </c>
      <c r="BV64" s="155"/>
    </row>
    <row r="65" spans="1:74" x14ac:dyDescent="0.25">
      <c r="A65" t="s">
        <v>565</v>
      </c>
      <c r="B65" t="s">
        <v>565</v>
      </c>
      <c r="C65" t="s">
        <v>59</v>
      </c>
      <c r="D65" t="s">
        <v>330</v>
      </c>
      <c r="E65" t="s">
        <v>580</v>
      </c>
      <c r="G65" s="154"/>
      <c r="H65" s="154"/>
      <c r="I65" s="154" t="s">
        <v>581</v>
      </c>
      <c r="J65" s="154" t="s">
        <v>582</v>
      </c>
      <c r="K65" s="154" t="s">
        <v>583</v>
      </c>
      <c r="L65" s="154" t="s">
        <v>582</v>
      </c>
      <c r="M65" s="154" t="s">
        <v>582</v>
      </c>
      <c r="N65" s="154"/>
      <c r="O65" s="154"/>
      <c r="P65" t="s">
        <v>72</v>
      </c>
      <c r="Q65" t="s">
        <v>72</v>
      </c>
      <c r="R65">
        <v>49</v>
      </c>
      <c r="S65">
        <v>17</v>
      </c>
      <c r="T65">
        <v>135</v>
      </c>
      <c r="U65">
        <v>0</v>
      </c>
      <c r="V65" t="s">
        <v>570</v>
      </c>
      <c r="W65" s="154"/>
      <c r="X65" s="154" t="s">
        <v>584</v>
      </c>
      <c r="Y65" s="154" t="s">
        <v>584</v>
      </c>
      <c r="Z65">
        <v>0</v>
      </c>
      <c r="AB65">
        <v>135</v>
      </c>
      <c r="AH65">
        <v>1</v>
      </c>
      <c r="AI65">
        <v>1</v>
      </c>
      <c r="AQ65">
        <v>1</v>
      </c>
      <c r="AS65">
        <v>49</v>
      </c>
      <c r="AU65">
        <v>17</v>
      </c>
      <c r="AV65">
        <v>1</v>
      </c>
      <c r="AW65" s="155">
        <v>45790</v>
      </c>
      <c r="AX65" s="155"/>
      <c r="AY65">
        <v>9003190090</v>
      </c>
      <c r="AZ65">
        <v>27</v>
      </c>
      <c r="BA65">
        <v>129</v>
      </c>
      <c r="BF65">
        <v>0</v>
      </c>
      <c r="BG65" t="s">
        <v>72</v>
      </c>
      <c r="BH65" t="s">
        <v>72</v>
      </c>
      <c r="BI65" t="s">
        <v>453</v>
      </c>
      <c r="BJ65" t="s">
        <v>72</v>
      </c>
      <c r="BU65" s="155">
        <v>45790</v>
      </c>
      <c r="BV65" s="155"/>
    </row>
    <row r="66" spans="1:74" x14ac:dyDescent="0.25">
      <c r="A66" t="s">
        <v>565</v>
      </c>
      <c r="B66" t="s">
        <v>565</v>
      </c>
      <c r="C66" t="s">
        <v>59</v>
      </c>
      <c r="D66" t="s">
        <v>330</v>
      </c>
      <c r="E66" t="s">
        <v>585</v>
      </c>
      <c r="G66" s="154"/>
      <c r="H66" s="154"/>
      <c r="I66" s="154" t="s">
        <v>586</v>
      </c>
      <c r="J66" s="154" t="s">
        <v>587</v>
      </c>
      <c r="K66" s="154" t="s">
        <v>583</v>
      </c>
      <c r="L66" s="154" t="s">
        <v>587</v>
      </c>
      <c r="M66" s="154" t="s">
        <v>587</v>
      </c>
      <c r="N66" s="154"/>
      <c r="O66" s="154"/>
      <c r="P66" t="s">
        <v>72</v>
      </c>
      <c r="Q66" t="s">
        <v>72</v>
      </c>
      <c r="R66">
        <v>49</v>
      </c>
      <c r="S66">
        <v>17</v>
      </c>
      <c r="T66">
        <v>135</v>
      </c>
      <c r="U66">
        <v>0</v>
      </c>
      <c r="V66" t="s">
        <v>570</v>
      </c>
      <c r="W66" s="154"/>
      <c r="X66" s="154" t="s">
        <v>588</v>
      </c>
      <c r="Y66" s="154" t="s">
        <v>588</v>
      </c>
      <c r="Z66">
        <v>0</v>
      </c>
      <c r="AB66">
        <v>135</v>
      </c>
      <c r="AH66">
        <v>1</v>
      </c>
      <c r="AI66">
        <v>1</v>
      </c>
      <c r="AQ66">
        <v>1</v>
      </c>
      <c r="AS66">
        <v>49</v>
      </c>
      <c r="AU66">
        <v>17</v>
      </c>
      <c r="AV66">
        <v>1</v>
      </c>
      <c r="AW66" s="155">
        <v>45790</v>
      </c>
      <c r="AX66" s="155"/>
      <c r="AY66">
        <v>9003190090</v>
      </c>
      <c r="AZ66">
        <v>27</v>
      </c>
      <c r="BA66">
        <v>129</v>
      </c>
      <c r="BF66">
        <v>0</v>
      </c>
      <c r="BG66" t="s">
        <v>72</v>
      </c>
      <c r="BH66" t="s">
        <v>72</v>
      </c>
      <c r="BI66" t="s">
        <v>453</v>
      </c>
      <c r="BJ66" t="s">
        <v>72</v>
      </c>
      <c r="BU66" s="155">
        <v>45790</v>
      </c>
      <c r="BV66" s="155"/>
    </row>
    <row r="67" spans="1:74" x14ac:dyDescent="0.25">
      <c r="A67" t="s">
        <v>565</v>
      </c>
      <c r="B67" t="s">
        <v>565</v>
      </c>
      <c r="C67" t="s">
        <v>59</v>
      </c>
      <c r="D67" t="s">
        <v>330</v>
      </c>
      <c r="E67" t="s">
        <v>589</v>
      </c>
      <c r="G67" s="154"/>
      <c r="H67" s="154"/>
      <c r="I67" s="154" t="s">
        <v>590</v>
      </c>
      <c r="J67" s="154" t="s">
        <v>591</v>
      </c>
      <c r="K67" s="154" t="s">
        <v>583</v>
      </c>
      <c r="L67" s="154" t="s">
        <v>591</v>
      </c>
      <c r="M67" s="154" t="s">
        <v>591</v>
      </c>
      <c r="N67" s="154"/>
      <c r="O67" s="154"/>
      <c r="P67" t="s">
        <v>72</v>
      </c>
      <c r="Q67" t="s">
        <v>72</v>
      </c>
      <c r="R67">
        <v>49</v>
      </c>
      <c r="S67">
        <v>17</v>
      </c>
      <c r="T67">
        <v>135</v>
      </c>
      <c r="U67">
        <v>0</v>
      </c>
      <c r="V67" t="s">
        <v>570</v>
      </c>
      <c r="W67" s="154"/>
      <c r="X67" s="154" t="s">
        <v>592</v>
      </c>
      <c r="Y67" s="154" t="s">
        <v>592</v>
      </c>
      <c r="Z67">
        <v>0</v>
      </c>
      <c r="AB67">
        <v>135</v>
      </c>
      <c r="AH67">
        <v>1</v>
      </c>
      <c r="AI67">
        <v>1</v>
      </c>
      <c r="AQ67">
        <v>1</v>
      </c>
      <c r="AS67">
        <v>49</v>
      </c>
      <c r="AU67">
        <v>17</v>
      </c>
      <c r="AV67">
        <v>1</v>
      </c>
      <c r="AW67" s="155">
        <v>45790</v>
      </c>
      <c r="AX67" s="155"/>
      <c r="AY67">
        <v>9003190090</v>
      </c>
      <c r="AZ67">
        <v>27</v>
      </c>
      <c r="BA67">
        <v>129</v>
      </c>
      <c r="BF67">
        <v>0</v>
      </c>
      <c r="BG67" t="s">
        <v>72</v>
      </c>
      <c r="BH67" t="s">
        <v>72</v>
      </c>
      <c r="BI67" t="s">
        <v>453</v>
      </c>
      <c r="BJ67" t="s">
        <v>72</v>
      </c>
      <c r="BU67" s="155">
        <v>45790</v>
      </c>
      <c r="BV67" s="155"/>
    </row>
    <row r="68" spans="1:74" x14ac:dyDescent="0.25">
      <c r="A68" t="s">
        <v>565</v>
      </c>
      <c r="B68" t="s">
        <v>565</v>
      </c>
      <c r="C68" t="s">
        <v>59</v>
      </c>
      <c r="D68" t="s">
        <v>330</v>
      </c>
      <c r="E68" t="s">
        <v>593</v>
      </c>
      <c r="G68" s="154"/>
      <c r="H68" s="154"/>
      <c r="I68" s="154" t="s">
        <v>594</v>
      </c>
      <c r="J68" s="154" t="s">
        <v>595</v>
      </c>
      <c r="K68" s="154" t="s">
        <v>596</v>
      </c>
      <c r="L68" s="154" t="s">
        <v>595</v>
      </c>
      <c r="M68" s="154" t="s">
        <v>595</v>
      </c>
      <c r="N68" s="154"/>
      <c r="O68" s="154"/>
      <c r="P68" t="s">
        <v>72</v>
      </c>
      <c r="Q68" t="s">
        <v>72</v>
      </c>
      <c r="R68">
        <v>51</v>
      </c>
      <c r="S68">
        <v>17</v>
      </c>
      <c r="T68">
        <v>135</v>
      </c>
      <c r="U68">
        <v>0</v>
      </c>
      <c r="V68" t="s">
        <v>570</v>
      </c>
      <c r="W68" s="154"/>
      <c r="X68" s="154" t="s">
        <v>597</v>
      </c>
      <c r="Y68" s="154" t="s">
        <v>597</v>
      </c>
      <c r="Z68">
        <v>0</v>
      </c>
      <c r="AB68">
        <v>135</v>
      </c>
      <c r="AH68">
        <v>1</v>
      </c>
      <c r="AI68">
        <v>1</v>
      </c>
      <c r="AQ68">
        <v>1</v>
      </c>
      <c r="AS68">
        <v>51</v>
      </c>
      <c r="AU68">
        <v>17</v>
      </c>
      <c r="AV68">
        <v>1</v>
      </c>
      <c r="AW68" s="155">
        <v>45790</v>
      </c>
      <c r="AX68" s="155"/>
      <c r="AY68">
        <v>9003190090</v>
      </c>
      <c r="AZ68">
        <v>27</v>
      </c>
      <c r="BA68">
        <v>129</v>
      </c>
      <c r="BF68">
        <v>0</v>
      </c>
      <c r="BG68" t="s">
        <v>72</v>
      </c>
      <c r="BH68" t="s">
        <v>72</v>
      </c>
      <c r="BI68" t="s">
        <v>453</v>
      </c>
      <c r="BJ68" t="s">
        <v>72</v>
      </c>
      <c r="BU68" s="155">
        <v>45790</v>
      </c>
      <c r="BV68" s="155"/>
    </row>
    <row r="69" spans="1:74" x14ac:dyDescent="0.25">
      <c r="A69" t="s">
        <v>565</v>
      </c>
      <c r="B69" t="s">
        <v>565</v>
      </c>
      <c r="C69" t="s">
        <v>59</v>
      </c>
      <c r="D69" t="s">
        <v>330</v>
      </c>
      <c r="E69" t="s">
        <v>598</v>
      </c>
      <c r="G69" s="154"/>
      <c r="H69" s="154"/>
      <c r="I69" s="154" t="s">
        <v>599</v>
      </c>
      <c r="J69" s="154" t="s">
        <v>600</v>
      </c>
      <c r="K69" s="154" t="s">
        <v>596</v>
      </c>
      <c r="L69" s="154" t="s">
        <v>600</v>
      </c>
      <c r="M69" s="154" t="s">
        <v>600</v>
      </c>
      <c r="N69" s="154"/>
      <c r="O69" s="154"/>
      <c r="P69" t="s">
        <v>72</v>
      </c>
      <c r="Q69" t="s">
        <v>72</v>
      </c>
      <c r="R69">
        <v>51</v>
      </c>
      <c r="S69">
        <v>17</v>
      </c>
      <c r="T69">
        <v>135</v>
      </c>
      <c r="U69">
        <v>0</v>
      </c>
      <c r="V69" t="s">
        <v>570</v>
      </c>
      <c r="W69" s="154"/>
      <c r="X69" s="154" t="s">
        <v>592</v>
      </c>
      <c r="Y69" s="154" t="s">
        <v>592</v>
      </c>
      <c r="Z69">
        <v>0</v>
      </c>
      <c r="AB69">
        <v>135</v>
      </c>
      <c r="AH69">
        <v>1</v>
      </c>
      <c r="AI69">
        <v>1</v>
      </c>
      <c r="AQ69">
        <v>1</v>
      </c>
      <c r="AS69">
        <v>51</v>
      </c>
      <c r="AU69">
        <v>17</v>
      </c>
      <c r="AV69">
        <v>1</v>
      </c>
      <c r="AW69" s="155">
        <v>45790</v>
      </c>
      <c r="AX69" s="155"/>
      <c r="AY69">
        <v>9003190090</v>
      </c>
      <c r="AZ69">
        <v>27</v>
      </c>
      <c r="BA69">
        <v>129</v>
      </c>
      <c r="BF69">
        <v>0</v>
      </c>
      <c r="BG69" t="s">
        <v>72</v>
      </c>
      <c r="BH69" t="s">
        <v>72</v>
      </c>
      <c r="BI69" t="s">
        <v>453</v>
      </c>
      <c r="BJ69" t="s">
        <v>72</v>
      </c>
      <c r="BU69" s="155">
        <v>45790</v>
      </c>
      <c r="BV69" s="155"/>
    </row>
    <row r="70" spans="1:74" x14ac:dyDescent="0.25">
      <c r="A70" t="s">
        <v>565</v>
      </c>
      <c r="B70" t="s">
        <v>565</v>
      </c>
      <c r="C70" t="s">
        <v>59</v>
      </c>
      <c r="D70" t="s">
        <v>330</v>
      </c>
      <c r="E70" t="s">
        <v>601</v>
      </c>
      <c r="G70" s="154"/>
      <c r="H70" s="154"/>
      <c r="I70" s="154" t="s">
        <v>602</v>
      </c>
      <c r="J70" s="154" t="s">
        <v>603</v>
      </c>
      <c r="K70" s="154" t="s">
        <v>604</v>
      </c>
      <c r="L70" s="154" t="s">
        <v>603</v>
      </c>
      <c r="M70" s="154" t="s">
        <v>603</v>
      </c>
      <c r="N70" s="154"/>
      <c r="O70" s="154"/>
      <c r="P70" t="s">
        <v>72</v>
      </c>
      <c r="Q70" t="s">
        <v>72</v>
      </c>
      <c r="R70">
        <v>51</v>
      </c>
      <c r="S70">
        <v>18</v>
      </c>
      <c r="T70">
        <v>135</v>
      </c>
      <c r="U70">
        <v>0</v>
      </c>
      <c r="V70" t="s">
        <v>570</v>
      </c>
      <c r="W70" s="154"/>
      <c r="X70" s="154" t="s">
        <v>605</v>
      </c>
      <c r="Y70" s="154" t="s">
        <v>605</v>
      </c>
      <c r="Z70">
        <v>0</v>
      </c>
      <c r="AB70">
        <v>135</v>
      </c>
      <c r="AH70">
        <v>1</v>
      </c>
      <c r="AI70">
        <v>1</v>
      </c>
      <c r="AQ70">
        <v>1</v>
      </c>
      <c r="AS70">
        <v>51</v>
      </c>
      <c r="AU70">
        <v>18</v>
      </c>
      <c r="AV70">
        <v>1</v>
      </c>
      <c r="AW70" s="155">
        <v>45790</v>
      </c>
      <c r="AX70" s="155"/>
      <c r="AY70">
        <v>9003190090</v>
      </c>
      <c r="AZ70">
        <v>27</v>
      </c>
      <c r="BA70">
        <v>129</v>
      </c>
      <c r="BF70">
        <v>0</v>
      </c>
      <c r="BG70" t="s">
        <v>72</v>
      </c>
      <c r="BH70" t="s">
        <v>72</v>
      </c>
      <c r="BI70" t="s">
        <v>453</v>
      </c>
      <c r="BJ70" t="s">
        <v>72</v>
      </c>
      <c r="BU70" s="155">
        <v>45790</v>
      </c>
      <c r="BV70" s="155"/>
    </row>
    <row r="71" spans="1:74" x14ac:dyDescent="0.25">
      <c r="A71" t="s">
        <v>565</v>
      </c>
      <c r="B71" t="s">
        <v>565</v>
      </c>
      <c r="C71" t="s">
        <v>59</v>
      </c>
      <c r="D71" t="s">
        <v>330</v>
      </c>
      <c r="E71" t="s">
        <v>606</v>
      </c>
      <c r="G71" s="154"/>
      <c r="H71" s="154"/>
      <c r="I71" s="154" t="s">
        <v>607</v>
      </c>
      <c r="J71" s="154" t="s">
        <v>608</v>
      </c>
      <c r="K71" s="154" t="s">
        <v>604</v>
      </c>
      <c r="L71" s="154" t="s">
        <v>608</v>
      </c>
      <c r="M71" s="154" t="s">
        <v>608</v>
      </c>
      <c r="N71" s="154"/>
      <c r="O71" s="154"/>
      <c r="P71" t="s">
        <v>72</v>
      </c>
      <c r="Q71" t="s">
        <v>72</v>
      </c>
      <c r="R71">
        <v>51</v>
      </c>
      <c r="S71">
        <v>18</v>
      </c>
      <c r="T71">
        <v>135</v>
      </c>
      <c r="U71">
        <v>0</v>
      </c>
      <c r="V71" t="s">
        <v>570</v>
      </c>
      <c r="W71" s="154"/>
      <c r="X71" s="154" t="s">
        <v>592</v>
      </c>
      <c r="Y71" s="154" t="s">
        <v>592</v>
      </c>
      <c r="Z71">
        <v>0</v>
      </c>
      <c r="AB71">
        <v>135</v>
      </c>
      <c r="AH71">
        <v>1</v>
      </c>
      <c r="AI71">
        <v>1</v>
      </c>
      <c r="AQ71">
        <v>1</v>
      </c>
      <c r="AS71">
        <v>51</v>
      </c>
      <c r="AU71">
        <v>18</v>
      </c>
      <c r="AV71">
        <v>1</v>
      </c>
      <c r="AW71" s="155">
        <v>45790</v>
      </c>
      <c r="AX71" s="155"/>
      <c r="AY71">
        <v>9003190090</v>
      </c>
      <c r="AZ71">
        <v>27</v>
      </c>
      <c r="BA71">
        <v>129</v>
      </c>
      <c r="BF71">
        <v>0</v>
      </c>
      <c r="BG71" t="s">
        <v>72</v>
      </c>
      <c r="BH71" t="s">
        <v>72</v>
      </c>
      <c r="BI71" t="s">
        <v>453</v>
      </c>
      <c r="BJ71" t="s">
        <v>72</v>
      </c>
      <c r="BU71" s="155">
        <v>45790</v>
      </c>
      <c r="BV71" s="155"/>
    </row>
    <row r="72" spans="1:74" x14ac:dyDescent="0.25">
      <c r="A72" t="s">
        <v>565</v>
      </c>
      <c r="B72" t="s">
        <v>565</v>
      </c>
      <c r="C72" t="s">
        <v>59</v>
      </c>
      <c r="D72" t="s">
        <v>330</v>
      </c>
      <c r="E72" t="s">
        <v>609</v>
      </c>
      <c r="G72" s="154"/>
      <c r="H72" s="154"/>
      <c r="I72" s="154" t="s">
        <v>610</v>
      </c>
      <c r="J72" s="154" t="s">
        <v>611</v>
      </c>
      <c r="K72" s="154" t="s">
        <v>612</v>
      </c>
      <c r="L72" s="154" t="s">
        <v>611</v>
      </c>
      <c r="M72" s="154" t="s">
        <v>611</v>
      </c>
      <c r="N72" s="154"/>
      <c r="O72" s="154"/>
      <c r="P72" t="s">
        <v>72</v>
      </c>
      <c r="Q72" t="s">
        <v>72</v>
      </c>
      <c r="R72">
        <v>50</v>
      </c>
      <c r="S72">
        <v>17</v>
      </c>
      <c r="T72">
        <v>135</v>
      </c>
      <c r="U72">
        <v>0</v>
      </c>
      <c r="V72" t="s">
        <v>570</v>
      </c>
      <c r="W72" s="154"/>
      <c r="X72" s="154" t="s">
        <v>584</v>
      </c>
      <c r="Y72" s="154" t="s">
        <v>584</v>
      </c>
      <c r="Z72">
        <v>0</v>
      </c>
      <c r="AB72">
        <v>135</v>
      </c>
      <c r="AH72">
        <v>1</v>
      </c>
      <c r="AI72">
        <v>1</v>
      </c>
      <c r="AQ72">
        <v>1</v>
      </c>
      <c r="AS72">
        <v>50</v>
      </c>
      <c r="AU72">
        <v>17</v>
      </c>
      <c r="AV72">
        <v>1</v>
      </c>
      <c r="AW72" s="155">
        <v>45790</v>
      </c>
      <c r="AX72" s="155"/>
      <c r="AY72">
        <v>9003190090</v>
      </c>
      <c r="AZ72">
        <v>27</v>
      </c>
      <c r="BA72">
        <v>129</v>
      </c>
      <c r="BF72">
        <v>0</v>
      </c>
      <c r="BG72" t="s">
        <v>72</v>
      </c>
      <c r="BH72" t="s">
        <v>72</v>
      </c>
      <c r="BI72" t="s">
        <v>453</v>
      </c>
      <c r="BJ72" t="s">
        <v>72</v>
      </c>
      <c r="BU72" s="155">
        <v>45790</v>
      </c>
      <c r="BV72" s="155"/>
    </row>
    <row r="73" spans="1:74" x14ac:dyDescent="0.25">
      <c r="A73" t="s">
        <v>565</v>
      </c>
      <c r="B73" t="s">
        <v>565</v>
      </c>
      <c r="C73" t="s">
        <v>59</v>
      </c>
      <c r="D73" t="s">
        <v>330</v>
      </c>
      <c r="E73" t="s">
        <v>613</v>
      </c>
      <c r="G73" s="154"/>
      <c r="H73" s="154"/>
      <c r="I73" s="154" t="s">
        <v>614</v>
      </c>
      <c r="J73" s="154" t="s">
        <v>615</v>
      </c>
      <c r="K73" s="154" t="s">
        <v>612</v>
      </c>
      <c r="L73" s="154" t="s">
        <v>615</v>
      </c>
      <c r="M73" s="154" t="s">
        <v>615</v>
      </c>
      <c r="N73" s="154"/>
      <c r="O73" s="154"/>
      <c r="P73" t="s">
        <v>72</v>
      </c>
      <c r="Q73" t="s">
        <v>72</v>
      </c>
      <c r="R73">
        <v>50</v>
      </c>
      <c r="S73">
        <v>17</v>
      </c>
      <c r="T73">
        <v>135</v>
      </c>
      <c r="U73">
        <v>0</v>
      </c>
      <c r="V73" t="s">
        <v>570</v>
      </c>
      <c r="W73" s="154"/>
      <c r="X73" s="154" t="s">
        <v>592</v>
      </c>
      <c r="Y73" s="154" t="s">
        <v>592</v>
      </c>
      <c r="Z73">
        <v>0</v>
      </c>
      <c r="AB73">
        <v>135</v>
      </c>
      <c r="AH73">
        <v>1</v>
      </c>
      <c r="AI73">
        <v>1</v>
      </c>
      <c r="AQ73">
        <v>1</v>
      </c>
      <c r="AS73">
        <v>50</v>
      </c>
      <c r="AU73">
        <v>17</v>
      </c>
      <c r="AV73">
        <v>1</v>
      </c>
      <c r="AW73" s="155">
        <v>45790</v>
      </c>
      <c r="AX73" s="155"/>
      <c r="AY73">
        <v>9003190090</v>
      </c>
      <c r="AZ73">
        <v>27</v>
      </c>
      <c r="BA73">
        <v>129</v>
      </c>
      <c r="BF73">
        <v>0</v>
      </c>
      <c r="BG73" t="s">
        <v>72</v>
      </c>
      <c r="BH73" t="s">
        <v>72</v>
      </c>
      <c r="BI73" t="s">
        <v>453</v>
      </c>
      <c r="BJ73" t="s">
        <v>72</v>
      </c>
      <c r="BU73" s="155">
        <v>45790</v>
      </c>
      <c r="BV73" s="155"/>
    </row>
    <row r="74" spans="1:74" x14ac:dyDescent="0.25">
      <c r="A74" t="s">
        <v>59</v>
      </c>
      <c r="B74" t="s">
        <v>330</v>
      </c>
      <c r="C74" t="s">
        <v>59</v>
      </c>
      <c r="D74" t="s">
        <v>330</v>
      </c>
      <c r="E74" t="s">
        <v>616</v>
      </c>
      <c r="G74" s="154"/>
      <c r="H74" s="154"/>
      <c r="I74" s="154" t="s">
        <v>617</v>
      </c>
      <c r="J74" s="154" t="s">
        <v>618</v>
      </c>
      <c r="K74" s="154" t="s">
        <v>619</v>
      </c>
      <c r="L74" s="154" t="s">
        <v>618</v>
      </c>
      <c r="M74" s="154" t="s">
        <v>618</v>
      </c>
      <c r="N74" s="154"/>
      <c r="O74" s="154"/>
      <c r="P74" t="s">
        <v>72</v>
      </c>
      <c r="Q74" t="s">
        <v>72</v>
      </c>
      <c r="R74">
        <v>49</v>
      </c>
      <c r="S74">
        <v>20</v>
      </c>
      <c r="T74">
        <v>145</v>
      </c>
      <c r="U74">
        <v>0</v>
      </c>
      <c r="V74" t="s">
        <v>620</v>
      </c>
      <c r="W74" s="154"/>
      <c r="X74" s="154" t="s">
        <v>357</v>
      </c>
      <c r="Y74" s="154" t="s">
        <v>357</v>
      </c>
      <c r="Z74">
        <v>0</v>
      </c>
      <c r="AB74">
        <v>145</v>
      </c>
      <c r="AH74">
        <v>1</v>
      </c>
      <c r="AI74">
        <v>1</v>
      </c>
      <c r="AQ74">
        <v>1</v>
      </c>
      <c r="AS74">
        <v>49</v>
      </c>
      <c r="AU74">
        <v>20</v>
      </c>
      <c r="AV74">
        <v>1</v>
      </c>
      <c r="AW74" s="155">
        <v>45790</v>
      </c>
      <c r="AX74" s="155"/>
      <c r="AY74">
        <v>9003190090</v>
      </c>
      <c r="AZ74">
        <v>34</v>
      </c>
      <c r="BA74">
        <v>239</v>
      </c>
      <c r="BF74">
        <v>0</v>
      </c>
      <c r="BG74" t="s">
        <v>436</v>
      </c>
      <c r="BH74" t="s">
        <v>436</v>
      </c>
      <c r="BI74" t="s">
        <v>72</v>
      </c>
      <c r="BJ74" t="s">
        <v>72</v>
      </c>
      <c r="BU74" s="155">
        <v>45790</v>
      </c>
      <c r="BV74" s="155"/>
    </row>
    <row r="75" spans="1:74" x14ac:dyDescent="0.25">
      <c r="A75" t="s">
        <v>59</v>
      </c>
      <c r="B75" t="s">
        <v>330</v>
      </c>
      <c r="C75" t="s">
        <v>59</v>
      </c>
      <c r="D75" t="s">
        <v>330</v>
      </c>
      <c r="E75" t="s">
        <v>621</v>
      </c>
      <c r="G75" s="154"/>
      <c r="H75" s="154"/>
      <c r="I75" s="154" t="s">
        <v>622</v>
      </c>
      <c r="J75" s="154" t="s">
        <v>623</v>
      </c>
      <c r="K75" s="154" t="s">
        <v>619</v>
      </c>
      <c r="L75" s="154" t="s">
        <v>623</v>
      </c>
      <c r="M75" s="154" t="s">
        <v>623</v>
      </c>
      <c r="N75" s="154"/>
      <c r="O75" s="154"/>
      <c r="P75" t="s">
        <v>72</v>
      </c>
      <c r="Q75" t="s">
        <v>72</v>
      </c>
      <c r="R75">
        <v>49</v>
      </c>
      <c r="S75">
        <v>20</v>
      </c>
      <c r="T75">
        <v>145</v>
      </c>
      <c r="U75">
        <v>0</v>
      </c>
      <c r="V75" t="s">
        <v>620</v>
      </c>
      <c r="W75" s="154"/>
      <c r="X75" s="154" t="s">
        <v>464</v>
      </c>
      <c r="Y75" s="154" t="s">
        <v>464</v>
      </c>
      <c r="Z75">
        <v>0</v>
      </c>
      <c r="AB75">
        <v>145</v>
      </c>
      <c r="AH75">
        <v>1</v>
      </c>
      <c r="AI75">
        <v>1</v>
      </c>
      <c r="AQ75">
        <v>1</v>
      </c>
      <c r="AS75">
        <v>49</v>
      </c>
      <c r="AU75">
        <v>20</v>
      </c>
      <c r="AV75">
        <v>1</v>
      </c>
      <c r="AW75" s="155">
        <v>45790</v>
      </c>
      <c r="AX75" s="155"/>
      <c r="AY75">
        <v>9003190090</v>
      </c>
      <c r="AZ75">
        <v>34</v>
      </c>
      <c r="BA75">
        <v>239</v>
      </c>
      <c r="BF75">
        <v>0</v>
      </c>
      <c r="BG75" t="s">
        <v>436</v>
      </c>
      <c r="BH75" t="s">
        <v>436</v>
      </c>
      <c r="BI75" t="s">
        <v>72</v>
      </c>
      <c r="BJ75" t="s">
        <v>72</v>
      </c>
      <c r="BU75" s="155">
        <v>45790</v>
      </c>
      <c r="BV75" s="155"/>
    </row>
    <row r="76" spans="1:74" x14ac:dyDescent="0.25">
      <c r="A76" t="s">
        <v>59</v>
      </c>
      <c r="B76" t="s">
        <v>330</v>
      </c>
      <c r="C76" t="s">
        <v>59</v>
      </c>
      <c r="D76" t="s">
        <v>330</v>
      </c>
      <c r="E76" t="s">
        <v>624</v>
      </c>
      <c r="G76" s="154"/>
      <c r="H76" s="154"/>
      <c r="I76" s="154" t="s">
        <v>625</v>
      </c>
      <c r="J76" s="154" t="s">
        <v>626</v>
      </c>
      <c r="K76" s="154" t="s">
        <v>627</v>
      </c>
      <c r="L76" s="154" t="s">
        <v>626</v>
      </c>
      <c r="M76" s="154" t="s">
        <v>626</v>
      </c>
      <c r="N76" s="154"/>
      <c r="O76" s="154"/>
      <c r="P76" t="s">
        <v>72</v>
      </c>
      <c r="Q76" t="s">
        <v>72</v>
      </c>
      <c r="R76">
        <v>51</v>
      </c>
      <c r="S76">
        <v>20</v>
      </c>
      <c r="T76">
        <v>145</v>
      </c>
      <c r="U76">
        <v>0</v>
      </c>
      <c r="V76" t="s">
        <v>620</v>
      </c>
      <c r="W76" s="154"/>
      <c r="X76" s="154" t="s">
        <v>464</v>
      </c>
      <c r="Y76" s="154" t="s">
        <v>464</v>
      </c>
      <c r="Z76">
        <v>0</v>
      </c>
      <c r="AB76">
        <v>145</v>
      </c>
      <c r="AH76">
        <v>1</v>
      </c>
      <c r="AI76">
        <v>1</v>
      </c>
      <c r="AQ76">
        <v>1</v>
      </c>
      <c r="AS76">
        <v>51</v>
      </c>
      <c r="AU76">
        <v>20</v>
      </c>
      <c r="AV76">
        <v>1</v>
      </c>
      <c r="AW76" s="155">
        <v>45790</v>
      </c>
      <c r="AX76" s="155"/>
      <c r="AY76">
        <v>9003190090</v>
      </c>
      <c r="AZ76">
        <v>34</v>
      </c>
      <c r="BA76">
        <v>239</v>
      </c>
      <c r="BF76">
        <v>0</v>
      </c>
      <c r="BG76" t="s">
        <v>436</v>
      </c>
      <c r="BH76" t="s">
        <v>436</v>
      </c>
      <c r="BI76" t="s">
        <v>72</v>
      </c>
      <c r="BJ76" t="s">
        <v>72</v>
      </c>
      <c r="BU76" s="155">
        <v>45790</v>
      </c>
      <c r="BV76" s="155"/>
    </row>
    <row r="77" spans="1:74" x14ac:dyDescent="0.25">
      <c r="A77" t="s">
        <v>59</v>
      </c>
      <c r="B77" t="s">
        <v>330</v>
      </c>
      <c r="C77" t="s">
        <v>59</v>
      </c>
      <c r="D77" t="s">
        <v>330</v>
      </c>
      <c r="E77" t="s">
        <v>628</v>
      </c>
      <c r="G77" s="154"/>
      <c r="H77" s="154"/>
      <c r="I77" s="154" t="s">
        <v>629</v>
      </c>
      <c r="J77" s="154" t="s">
        <v>630</v>
      </c>
      <c r="K77" s="154" t="s">
        <v>627</v>
      </c>
      <c r="L77" s="154" t="s">
        <v>630</v>
      </c>
      <c r="M77" s="154" t="s">
        <v>630</v>
      </c>
      <c r="N77" s="154"/>
      <c r="O77" s="154"/>
      <c r="P77" t="s">
        <v>72</v>
      </c>
      <c r="Q77" t="s">
        <v>72</v>
      </c>
      <c r="R77">
        <v>51</v>
      </c>
      <c r="S77">
        <v>20</v>
      </c>
      <c r="T77">
        <v>145</v>
      </c>
      <c r="U77">
        <v>0</v>
      </c>
      <c r="V77" t="s">
        <v>620</v>
      </c>
      <c r="W77" s="154"/>
      <c r="X77" s="154" t="s">
        <v>419</v>
      </c>
      <c r="Y77" s="154" t="s">
        <v>419</v>
      </c>
      <c r="Z77">
        <v>0</v>
      </c>
      <c r="AB77">
        <v>145</v>
      </c>
      <c r="AH77">
        <v>1</v>
      </c>
      <c r="AI77">
        <v>1</v>
      </c>
      <c r="AQ77">
        <v>1</v>
      </c>
      <c r="AS77">
        <v>51</v>
      </c>
      <c r="AU77">
        <v>20</v>
      </c>
      <c r="AV77">
        <v>1</v>
      </c>
      <c r="AW77" s="155">
        <v>45790</v>
      </c>
      <c r="AX77" s="155"/>
      <c r="AY77">
        <v>9003190090</v>
      </c>
      <c r="AZ77">
        <v>34</v>
      </c>
      <c r="BA77">
        <v>239</v>
      </c>
      <c r="BF77">
        <v>0</v>
      </c>
      <c r="BG77" t="s">
        <v>436</v>
      </c>
      <c r="BH77" t="s">
        <v>436</v>
      </c>
      <c r="BI77" t="s">
        <v>72</v>
      </c>
      <c r="BJ77" t="s">
        <v>72</v>
      </c>
      <c r="BU77" s="155">
        <v>45790</v>
      </c>
      <c r="BV77" s="155"/>
    </row>
    <row r="78" spans="1:74" x14ac:dyDescent="0.25">
      <c r="A78" t="s">
        <v>59</v>
      </c>
      <c r="B78" t="s">
        <v>330</v>
      </c>
      <c r="C78" t="s">
        <v>59</v>
      </c>
      <c r="D78" t="s">
        <v>330</v>
      </c>
      <c r="E78" t="s">
        <v>631</v>
      </c>
      <c r="G78" s="154"/>
      <c r="H78" s="154"/>
      <c r="I78" s="154" t="s">
        <v>632</v>
      </c>
      <c r="J78" s="154" t="s">
        <v>633</v>
      </c>
      <c r="K78" s="154" t="s">
        <v>634</v>
      </c>
      <c r="L78" s="154" t="s">
        <v>633</v>
      </c>
      <c r="M78" s="154" t="s">
        <v>633</v>
      </c>
      <c r="N78" s="154"/>
      <c r="O78" s="154"/>
      <c r="P78" t="s">
        <v>72</v>
      </c>
      <c r="Q78" t="s">
        <v>72</v>
      </c>
      <c r="R78">
        <v>52</v>
      </c>
      <c r="S78">
        <v>20</v>
      </c>
      <c r="T78">
        <v>145</v>
      </c>
      <c r="U78">
        <v>0</v>
      </c>
      <c r="V78" t="s">
        <v>620</v>
      </c>
      <c r="W78" s="154"/>
      <c r="X78" s="154" t="s">
        <v>444</v>
      </c>
      <c r="Y78" s="154" t="s">
        <v>444</v>
      </c>
      <c r="Z78">
        <v>0</v>
      </c>
      <c r="AB78">
        <v>145</v>
      </c>
      <c r="AH78">
        <v>1</v>
      </c>
      <c r="AI78">
        <v>1</v>
      </c>
      <c r="AQ78">
        <v>1</v>
      </c>
      <c r="AS78">
        <v>52</v>
      </c>
      <c r="AU78">
        <v>20</v>
      </c>
      <c r="AV78">
        <v>1</v>
      </c>
      <c r="AW78" s="155">
        <v>45790</v>
      </c>
      <c r="AX78" s="155"/>
      <c r="AY78">
        <v>9003190090</v>
      </c>
      <c r="AZ78">
        <v>34</v>
      </c>
      <c r="BA78">
        <v>239</v>
      </c>
      <c r="BF78">
        <v>0</v>
      </c>
      <c r="BG78" t="s">
        <v>436</v>
      </c>
      <c r="BH78" t="s">
        <v>436</v>
      </c>
      <c r="BI78" t="s">
        <v>72</v>
      </c>
      <c r="BJ78" t="s">
        <v>72</v>
      </c>
      <c r="BU78" s="155">
        <v>45790</v>
      </c>
      <c r="BV78" s="155"/>
    </row>
    <row r="79" spans="1:74" x14ac:dyDescent="0.25">
      <c r="A79" t="s">
        <v>59</v>
      </c>
      <c r="B79" t="s">
        <v>330</v>
      </c>
      <c r="C79" t="s">
        <v>59</v>
      </c>
      <c r="D79" t="s">
        <v>330</v>
      </c>
      <c r="E79" t="s">
        <v>635</v>
      </c>
      <c r="G79" s="154"/>
      <c r="H79" s="154"/>
      <c r="I79" s="154" t="s">
        <v>636</v>
      </c>
      <c r="J79" s="154" t="s">
        <v>637</v>
      </c>
      <c r="K79" s="154" t="s">
        <v>634</v>
      </c>
      <c r="L79" s="154" t="s">
        <v>637</v>
      </c>
      <c r="M79" s="154" t="s">
        <v>637</v>
      </c>
      <c r="N79" s="154"/>
      <c r="O79" s="154"/>
      <c r="P79" t="s">
        <v>72</v>
      </c>
      <c r="Q79" t="s">
        <v>72</v>
      </c>
      <c r="R79">
        <v>52</v>
      </c>
      <c r="S79">
        <v>20</v>
      </c>
      <c r="T79">
        <v>145</v>
      </c>
      <c r="U79">
        <v>0</v>
      </c>
      <c r="V79" t="s">
        <v>620</v>
      </c>
      <c r="W79" s="154"/>
      <c r="X79" s="154" t="s">
        <v>357</v>
      </c>
      <c r="Y79" s="154" t="s">
        <v>357</v>
      </c>
      <c r="Z79">
        <v>0</v>
      </c>
      <c r="AB79">
        <v>145</v>
      </c>
      <c r="AH79">
        <v>1</v>
      </c>
      <c r="AI79">
        <v>1</v>
      </c>
      <c r="AQ79">
        <v>1</v>
      </c>
      <c r="AS79">
        <v>52</v>
      </c>
      <c r="AU79">
        <v>20</v>
      </c>
      <c r="AV79">
        <v>1</v>
      </c>
      <c r="AW79" s="155">
        <v>45790</v>
      </c>
      <c r="AX79" s="155"/>
      <c r="AY79">
        <v>9003190090</v>
      </c>
      <c r="AZ79">
        <v>34</v>
      </c>
      <c r="BA79">
        <v>239</v>
      </c>
      <c r="BF79">
        <v>0</v>
      </c>
      <c r="BG79" t="s">
        <v>436</v>
      </c>
      <c r="BH79" t="s">
        <v>436</v>
      </c>
      <c r="BI79" t="s">
        <v>72</v>
      </c>
      <c r="BJ79" t="s">
        <v>72</v>
      </c>
      <c r="BU79" s="155">
        <v>45790</v>
      </c>
      <c r="BV79" s="155"/>
    </row>
    <row r="80" spans="1:74" x14ac:dyDescent="0.25">
      <c r="A80" t="s">
        <v>59</v>
      </c>
      <c r="B80" t="s">
        <v>330</v>
      </c>
      <c r="C80" t="s">
        <v>59</v>
      </c>
      <c r="D80" t="s">
        <v>330</v>
      </c>
      <c r="E80" t="s">
        <v>638</v>
      </c>
      <c r="G80" s="154"/>
      <c r="H80" s="154"/>
      <c r="I80" s="154" t="s">
        <v>639</v>
      </c>
      <c r="J80" s="154" t="s">
        <v>640</v>
      </c>
      <c r="K80" s="154" t="s">
        <v>641</v>
      </c>
      <c r="L80" s="154" t="s">
        <v>640</v>
      </c>
      <c r="M80" s="154" t="s">
        <v>640</v>
      </c>
      <c r="N80" s="154"/>
      <c r="O80" s="154"/>
      <c r="P80" t="s">
        <v>72</v>
      </c>
      <c r="Q80" t="s">
        <v>72</v>
      </c>
      <c r="R80">
        <v>48</v>
      </c>
      <c r="S80">
        <v>19</v>
      </c>
      <c r="T80">
        <v>145</v>
      </c>
      <c r="U80">
        <v>0</v>
      </c>
      <c r="V80" t="s">
        <v>620</v>
      </c>
      <c r="W80" s="154"/>
      <c r="X80" s="154" t="s">
        <v>357</v>
      </c>
      <c r="Y80" s="154" t="s">
        <v>357</v>
      </c>
      <c r="Z80">
        <v>0</v>
      </c>
      <c r="AB80">
        <v>145</v>
      </c>
      <c r="AH80">
        <v>1</v>
      </c>
      <c r="AI80">
        <v>1</v>
      </c>
      <c r="AQ80">
        <v>1</v>
      </c>
      <c r="AS80">
        <v>48</v>
      </c>
      <c r="AU80">
        <v>19</v>
      </c>
      <c r="AV80">
        <v>1</v>
      </c>
      <c r="AW80" s="155">
        <v>45790</v>
      </c>
      <c r="AX80" s="155"/>
      <c r="AY80">
        <v>9003190090</v>
      </c>
      <c r="AZ80">
        <v>34</v>
      </c>
      <c r="BA80">
        <v>239</v>
      </c>
      <c r="BF80">
        <v>0</v>
      </c>
      <c r="BG80" t="s">
        <v>436</v>
      </c>
      <c r="BH80" t="s">
        <v>436</v>
      </c>
      <c r="BI80" t="s">
        <v>72</v>
      </c>
      <c r="BJ80" t="s">
        <v>72</v>
      </c>
      <c r="BU80" s="155">
        <v>45790</v>
      </c>
      <c r="BV80" s="155"/>
    </row>
    <row r="81" spans="1:74" x14ac:dyDescent="0.25">
      <c r="A81" t="s">
        <v>59</v>
      </c>
      <c r="B81" t="s">
        <v>330</v>
      </c>
      <c r="C81" t="s">
        <v>59</v>
      </c>
      <c r="D81" t="s">
        <v>330</v>
      </c>
      <c r="E81" t="s">
        <v>642</v>
      </c>
      <c r="G81" s="154"/>
      <c r="H81" s="154"/>
      <c r="I81" s="154" t="s">
        <v>643</v>
      </c>
      <c r="J81" s="154" t="s">
        <v>644</v>
      </c>
      <c r="K81" s="154" t="s">
        <v>641</v>
      </c>
      <c r="L81" s="154" t="s">
        <v>644</v>
      </c>
      <c r="M81" s="154" t="s">
        <v>644</v>
      </c>
      <c r="N81" s="154"/>
      <c r="O81" s="154"/>
      <c r="P81" t="s">
        <v>72</v>
      </c>
      <c r="Q81" t="s">
        <v>72</v>
      </c>
      <c r="R81">
        <v>48</v>
      </c>
      <c r="S81">
        <v>19</v>
      </c>
      <c r="T81">
        <v>145</v>
      </c>
      <c r="U81">
        <v>0</v>
      </c>
      <c r="V81" t="s">
        <v>620</v>
      </c>
      <c r="W81" s="154"/>
      <c r="X81" s="154" t="s">
        <v>464</v>
      </c>
      <c r="Y81" s="154" t="s">
        <v>464</v>
      </c>
      <c r="Z81">
        <v>0</v>
      </c>
      <c r="AB81">
        <v>145</v>
      </c>
      <c r="AH81">
        <v>1</v>
      </c>
      <c r="AI81">
        <v>1</v>
      </c>
      <c r="AQ81">
        <v>1</v>
      </c>
      <c r="AS81">
        <v>48</v>
      </c>
      <c r="AU81">
        <v>19</v>
      </c>
      <c r="AV81">
        <v>1</v>
      </c>
      <c r="AW81" s="155">
        <v>45790</v>
      </c>
      <c r="AX81" s="155"/>
      <c r="AY81">
        <v>9003190090</v>
      </c>
      <c r="AZ81">
        <v>34</v>
      </c>
      <c r="BA81">
        <v>239</v>
      </c>
      <c r="BF81">
        <v>0</v>
      </c>
      <c r="BG81" t="s">
        <v>436</v>
      </c>
      <c r="BH81" t="s">
        <v>436</v>
      </c>
      <c r="BI81" t="s">
        <v>72</v>
      </c>
      <c r="BJ81" t="s">
        <v>72</v>
      </c>
      <c r="BU81" s="155">
        <v>45790</v>
      </c>
      <c r="BV81" s="155"/>
    </row>
    <row r="82" spans="1:74" x14ac:dyDescent="0.25">
      <c r="A82" t="s">
        <v>59</v>
      </c>
      <c r="B82" t="s">
        <v>330</v>
      </c>
      <c r="C82" t="s">
        <v>59</v>
      </c>
      <c r="D82" t="s">
        <v>330</v>
      </c>
      <c r="E82" t="s">
        <v>645</v>
      </c>
      <c r="G82" s="154"/>
      <c r="H82" s="154"/>
      <c r="I82" s="154" t="s">
        <v>646</v>
      </c>
      <c r="J82" s="154" t="s">
        <v>647</v>
      </c>
      <c r="K82" s="154" t="s">
        <v>648</v>
      </c>
      <c r="L82" s="154" t="s">
        <v>647</v>
      </c>
      <c r="M82" s="154" t="s">
        <v>647</v>
      </c>
      <c r="N82" s="154"/>
      <c r="O82" s="154"/>
      <c r="P82" t="s">
        <v>72</v>
      </c>
      <c r="Q82" t="s">
        <v>72</v>
      </c>
      <c r="R82">
        <v>49</v>
      </c>
      <c r="S82">
        <v>21</v>
      </c>
      <c r="T82">
        <v>145</v>
      </c>
      <c r="U82">
        <v>0</v>
      </c>
      <c r="V82" t="s">
        <v>620</v>
      </c>
      <c r="W82" s="154"/>
      <c r="X82" s="154" t="s">
        <v>357</v>
      </c>
      <c r="Y82" s="154" t="s">
        <v>357</v>
      </c>
      <c r="Z82">
        <v>0</v>
      </c>
      <c r="AB82">
        <v>145</v>
      </c>
      <c r="AH82">
        <v>1</v>
      </c>
      <c r="AI82">
        <v>1</v>
      </c>
      <c r="AQ82">
        <v>1</v>
      </c>
      <c r="AS82">
        <v>49</v>
      </c>
      <c r="AU82">
        <v>21</v>
      </c>
      <c r="AV82">
        <v>1</v>
      </c>
      <c r="AW82" s="155">
        <v>45790</v>
      </c>
      <c r="AX82" s="155"/>
      <c r="AY82">
        <v>9003190090</v>
      </c>
      <c r="AZ82">
        <v>34</v>
      </c>
      <c r="BA82">
        <v>239</v>
      </c>
      <c r="BF82">
        <v>0</v>
      </c>
      <c r="BG82" t="s">
        <v>436</v>
      </c>
      <c r="BH82" t="s">
        <v>436</v>
      </c>
      <c r="BI82" t="s">
        <v>72</v>
      </c>
      <c r="BJ82" t="s">
        <v>72</v>
      </c>
      <c r="BU82" s="155">
        <v>45790</v>
      </c>
      <c r="BV82" s="155"/>
    </row>
    <row r="83" spans="1:74" x14ac:dyDescent="0.25">
      <c r="A83" t="s">
        <v>59</v>
      </c>
      <c r="B83" t="s">
        <v>330</v>
      </c>
      <c r="C83" t="s">
        <v>59</v>
      </c>
      <c r="D83" t="s">
        <v>330</v>
      </c>
      <c r="E83" t="s">
        <v>649</v>
      </c>
      <c r="G83" s="154"/>
      <c r="H83" s="154"/>
      <c r="I83" s="154" t="s">
        <v>650</v>
      </c>
      <c r="J83" s="154" t="s">
        <v>651</v>
      </c>
      <c r="K83" s="154" t="s">
        <v>648</v>
      </c>
      <c r="L83" s="154" t="s">
        <v>651</v>
      </c>
      <c r="M83" s="154" t="s">
        <v>651</v>
      </c>
      <c r="N83" s="154"/>
      <c r="O83" s="154"/>
      <c r="P83" t="s">
        <v>72</v>
      </c>
      <c r="Q83" t="s">
        <v>72</v>
      </c>
      <c r="R83">
        <v>49</v>
      </c>
      <c r="S83">
        <v>21</v>
      </c>
      <c r="T83">
        <v>145</v>
      </c>
      <c r="U83">
        <v>0</v>
      </c>
      <c r="V83" t="s">
        <v>620</v>
      </c>
      <c r="W83" s="154"/>
      <c r="X83" s="154" t="s">
        <v>464</v>
      </c>
      <c r="Y83" s="154" t="s">
        <v>464</v>
      </c>
      <c r="Z83">
        <v>0</v>
      </c>
      <c r="AB83">
        <v>145</v>
      </c>
      <c r="AH83">
        <v>1</v>
      </c>
      <c r="AI83">
        <v>1</v>
      </c>
      <c r="AQ83">
        <v>1</v>
      </c>
      <c r="AS83">
        <v>49</v>
      </c>
      <c r="AU83">
        <v>21</v>
      </c>
      <c r="AV83">
        <v>1</v>
      </c>
      <c r="AW83" s="155">
        <v>45790</v>
      </c>
      <c r="AX83" s="155"/>
      <c r="AY83">
        <v>9003190090</v>
      </c>
      <c r="AZ83">
        <v>34</v>
      </c>
      <c r="BA83">
        <v>239</v>
      </c>
      <c r="BF83">
        <v>0</v>
      </c>
      <c r="BG83" t="s">
        <v>436</v>
      </c>
      <c r="BH83" t="s">
        <v>436</v>
      </c>
      <c r="BI83" t="s">
        <v>72</v>
      </c>
      <c r="BJ83" t="s">
        <v>72</v>
      </c>
      <c r="BU83" s="155">
        <v>45790</v>
      </c>
      <c r="BV83" s="155"/>
    </row>
    <row r="84" spans="1:74" x14ac:dyDescent="0.25">
      <c r="A84" t="s">
        <v>59</v>
      </c>
      <c r="B84" t="s">
        <v>330</v>
      </c>
      <c r="C84" t="s">
        <v>59</v>
      </c>
      <c r="D84" t="s">
        <v>330</v>
      </c>
      <c r="E84" t="s">
        <v>652</v>
      </c>
      <c r="G84" s="154"/>
      <c r="H84" s="154"/>
      <c r="I84" s="154" t="s">
        <v>653</v>
      </c>
      <c r="J84" s="154" t="s">
        <v>654</v>
      </c>
      <c r="K84" s="154" t="s">
        <v>655</v>
      </c>
      <c r="L84" s="154" t="s">
        <v>654</v>
      </c>
      <c r="M84" s="154" t="s">
        <v>654</v>
      </c>
      <c r="N84" s="154"/>
      <c r="O84" s="154"/>
      <c r="P84" t="s">
        <v>72</v>
      </c>
      <c r="Q84" t="s">
        <v>72</v>
      </c>
      <c r="R84">
        <v>48</v>
      </c>
      <c r="S84">
        <v>20</v>
      </c>
      <c r="T84">
        <v>145</v>
      </c>
      <c r="U84">
        <v>0</v>
      </c>
      <c r="V84" t="s">
        <v>620</v>
      </c>
      <c r="W84" s="154"/>
      <c r="X84" s="154" t="s">
        <v>444</v>
      </c>
      <c r="Y84" s="154" t="s">
        <v>444</v>
      </c>
      <c r="Z84">
        <v>0</v>
      </c>
      <c r="AB84">
        <v>145</v>
      </c>
      <c r="AH84">
        <v>1</v>
      </c>
      <c r="AI84">
        <v>1</v>
      </c>
      <c r="AQ84">
        <v>1</v>
      </c>
      <c r="AS84">
        <v>48</v>
      </c>
      <c r="AU84">
        <v>20</v>
      </c>
      <c r="AV84">
        <v>1</v>
      </c>
      <c r="AW84" s="155">
        <v>45790</v>
      </c>
      <c r="AX84" s="155"/>
      <c r="AY84">
        <v>9003190090</v>
      </c>
      <c r="AZ84">
        <v>34</v>
      </c>
      <c r="BA84">
        <v>239</v>
      </c>
      <c r="BF84">
        <v>0</v>
      </c>
      <c r="BG84" t="s">
        <v>436</v>
      </c>
      <c r="BH84" t="s">
        <v>436</v>
      </c>
      <c r="BI84" t="s">
        <v>72</v>
      </c>
      <c r="BJ84" t="s">
        <v>72</v>
      </c>
      <c r="BU84" s="155">
        <v>45790</v>
      </c>
      <c r="BV84" s="155"/>
    </row>
    <row r="85" spans="1:74" x14ac:dyDescent="0.25">
      <c r="A85" t="s">
        <v>59</v>
      </c>
      <c r="B85" t="s">
        <v>330</v>
      </c>
      <c r="C85" t="s">
        <v>59</v>
      </c>
      <c r="D85" t="s">
        <v>330</v>
      </c>
      <c r="E85" t="s">
        <v>656</v>
      </c>
      <c r="G85" s="154"/>
      <c r="H85" s="154"/>
      <c r="I85" s="154" t="s">
        <v>657</v>
      </c>
      <c r="J85" s="154" t="s">
        <v>658</v>
      </c>
      <c r="K85" s="154" t="s">
        <v>655</v>
      </c>
      <c r="L85" s="154" t="s">
        <v>658</v>
      </c>
      <c r="M85" s="154" t="s">
        <v>658</v>
      </c>
      <c r="N85" s="154"/>
      <c r="O85" s="154"/>
      <c r="P85" t="s">
        <v>72</v>
      </c>
      <c r="Q85" t="s">
        <v>72</v>
      </c>
      <c r="R85">
        <v>48</v>
      </c>
      <c r="S85">
        <v>20</v>
      </c>
      <c r="T85">
        <v>145</v>
      </c>
      <c r="U85">
        <v>0</v>
      </c>
      <c r="V85" t="s">
        <v>620</v>
      </c>
      <c r="W85" s="154"/>
      <c r="X85" s="154" t="s">
        <v>357</v>
      </c>
      <c r="Y85" s="154" t="s">
        <v>357</v>
      </c>
      <c r="Z85">
        <v>0</v>
      </c>
      <c r="AB85">
        <v>145</v>
      </c>
      <c r="AH85">
        <v>1</v>
      </c>
      <c r="AI85">
        <v>1</v>
      </c>
      <c r="AQ85">
        <v>1</v>
      </c>
      <c r="AS85">
        <v>48</v>
      </c>
      <c r="AU85">
        <v>20</v>
      </c>
      <c r="AV85">
        <v>1</v>
      </c>
      <c r="AW85" s="155">
        <v>45790</v>
      </c>
      <c r="AX85" s="155"/>
      <c r="AY85">
        <v>9003190090</v>
      </c>
      <c r="AZ85">
        <v>34</v>
      </c>
      <c r="BA85">
        <v>239</v>
      </c>
      <c r="BF85">
        <v>0</v>
      </c>
      <c r="BG85" t="s">
        <v>436</v>
      </c>
      <c r="BH85" t="s">
        <v>436</v>
      </c>
      <c r="BI85" t="s">
        <v>72</v>
      </c>
      <c r="BJ85" t="s">
        <v>72</v>
      </c>
      <c r="BU85" s="155">
        <v>45790</v>
      </c>
      <c r="BV85" s="155"/>
    </row>
    <row r="86" spans="1:74" x14ac:dyDescent="0.25">
      <c r="A86" t="s">
        <v>59</v>
      </c>
      <c r="B86" t="s">
        <v>330</v>
      </c>
      <c r="C86" t="s">
        <v>59</v>
      </c>
      <c r="D86" t="s">
        <v>330</v>
      </c>
      <c r="E86" t="s">
        <v>659</v>
      </c>
      <c r="G86" s="154"/>
      <c r="H86" s="154"/>
      <c r="I86" s="154" t="s">
        <v>660</v>
      </c>
      <c r="J86" s="154" t="s">
        <v>661</v>
      </c>
      <c r="K86" s="154" t="s">
        <v>662</v>
      </c>
      <c r="L86" s="154" t="s">
        <v>661</v>
      </c>
      <c r="M86" s="154" t="s">
        <v>661</v>
      </c>
      <c r="N86" s="154"/>
      <c r="O86" s="154"/>
      <c r="P86" t="s">
        <v>72</v>
      </c>
      <c r="Q86" t="s">
        <v>72</v>
      </c>
      <c r="R86">
        <v>49</v>
      </c>
      <c r="S86">
        <v>20</v>
      </c>
      <c r="T86">
        <v>145</v>
      </c>
      <c r="U86">
        <v>0</v>
      </c>
      <c r="V86" t="s">
        <v>620</v>
      </c>
      <c r="W86" s="154"/>
      <c r="X86" s="154" t="s">
        <v>444</v>
      </c>
      <c r="Y86" s="154" t="s">
        <v>444</v>
      </c>
      <c r="Z86">
        <v>0</v>
      </c>
      <c r="AB86">
        <v>145</v>
      </c>
      <c r="AH86">
        <v>1</v>
      </c>
      <c r="AI86">
        <v>1</v>
      </c>
      <c r="AQ86">
        <v>1</v>
      </c>
      <c r="AS86">
        <v>49</v>
      </c>
      <c r="AU86">
        <v>20</v>
      </c>
      <c r="AV86">
        <v>1</v>
      </c>
      <c r="AW86" s="155">
        <v>45790</v>
      </c>
      <c r="AX86" s="155"/>
      <c r="AY86">
        <v>9003190090</v>
      </c>
      <c r="AZ86">
        <v>34</v>
      </c>
      <c r="BA86">
        <v>239</v>
      </c>
      <c r="BF86">
        <v>0</v>
      </c>
      <c r="BG86" t="s">
        <v>436</v>
      </c>
      <c r="BH86" t="s">
        <v>436</v>
      </c>
      <c r="BI86" t="s">
        <v>72</v>
      </c>
      <c r="BJ86" t="s">
        <v>72</v>
      </c>
      <c r="BU86" s="155">
        <v>45790</v>
      </c>
      <c r="BV86" s="155"/>
    </row>
    <row r="87" spans="1:74" x14ac:dyDescent="0.25">
      <c r="A87" t="s">
        <v>59</v>
      </c>
      <c r="B87" t="s">
        <v>330</v>
      </c>
      <c r="C87" t="s">
        <v>59</v>
      </c>
      <c r="D87" t="s">
        <v>330</v>
      </c>
      <c r="E87" t="s">
        <v>663</v>
      </c>
      <c r="G87" s="154"/>
      <c r="H87" s="154"/>
      <c r="I87" s="154" t="s">
        <v>664</v>
      </c>
      <c r="J87" s="154" t="s">
        <v>665</v>
      </c>
      <c r="K87" s="154" t="s">
        <v>662</v>
      </c>
      <c r="L87" s="154" t="s">
        <v>665</v>
      </c>
      <c r="M87" s="154" t="s">
        <v>665</v>
      </c>
      <c r="N87" s="154"/>
      <c r="O87" s="154"/>
      <c r="P87" t="s">
        <v>72</v>
      </c>
      <c r="Q87" t="s">
        <v>72</v>
      </c>
      <c r="R87">
        <v>49</v>
      </c>
      <c r="S87">
        <v>20</v>
      </c>
      <c r="T87">
        <v>145</v>
      </c>
      <c r="U87">
        <v>0</v>
      </c>
      <c r="V87" t="s">
        <v>620</v>
      </c>
      <c r="W87" s="154"/>
      <c r="X87" s="154" t="s">
        <v>357</v>
      </c>
      <c r="Y87" s="154" t="s">
        <v>357</v>
      </c>
      <c r="Z87">
        <v>0</v>
      </c>
      <c r="AB87">
        <v>145</v>
      </c>
      <c r="AH87">
        <v>1</v>
      </c>
      <c r="AI87">
        <v>1</v>
      </c>
      <c r="AQ87">
        <v>1</v>
      </c>
      <c r="AS87">
        <v>49</v>
      </c>
      <c r="AU87">
        <v>20</v>
      </c>
      <c r="AV87">
        <v>1</v>
      </c>
      <c r="AW87" s="155">
        <v>45790</v>
      </c>
      <c r="AX87" s="155"/>
      <c r="AY87">
        <v>9003190090</v>
      </c>
      <c r="AZ87">
        <v>34</v>
      </c>
      <c r="BA87">
        <v>239</v>
      </c>
      <c r="BF87">
        <v>0</v>
      </c>
      <c r="BG87" t="s">
        <v>436</v>
      </c>
      <c r="BH87" t="s">
        <v>436</v>
      </c>
      <c r="BI87" t="s">
        <v>72</v>
      </c>
      <c r="BJ87" t="s">
        <v>72</v>
      </c>
      <c r="BU87" s="155">
        <v>45790</v>
      </c>
      <c r="BV87" s="155"/>
    </row>
    <row r="88" spans="1:74" x14ac:dyDescent="0.25">
      <c r="A88" t="s">
        <v>59</v>
      </c>
      <c r="B88" t="s">
        <v>330</v>
      </c>
      <c r="C88" t="s">
        <v>59</v>
      </c>
      <c r="D88" t="s">
        <v>330</v>
      </c>
      <c r="E88" t="s">
        <v>666</v>
      </c>
      <c r="G88" s="154"/>
      <c r="H88" s="154"/>
      <c r="I88" s="154" t="s">
        <v>667</v>
      </c>
      <c r="J88" s="154" t="s">
        <v>668</v>
      </c>
      <c r="K88" s="154" t="s">
        <v>669</v>
      </c>
      <c r="L88" s="154" t="s">
        <v>668</v>
      </c>
      <c r="M88" s="154" t="s">
        <v>668</v>
      </c>
      <c r="N88" s="154"/>
      <c r="O88" s="154"/>
      <c r="P88" t="s">
        <v>72</v>
      </c>
      <c r="Q88" t="s">
        <v>72</v>
      </c>
      <c r="R88">
        <v>53</v>
      </c>
      <c r="S88">
        <v>20</v>
      </c>
      <c r="T88">
        <v>145</v>
      </c>
      <c r="U88">
        <v>0</v>
      </c>
      <c r="V88" t="s">
        <v>620</v>
      </c>
      <c r="W88" s="154"/>
      <c r="X88" s="154" t="s">
        <v>670</v>
      </c>
      <c r="Y88" s="154" t="s">
        <v>670</v>
      </c>
      <c r="Z88">
        <v>0</v>
      </c>
      <c r="AB88">
        <v>145</v>
      </c>
      <c r="AH88">
        <v>1</v>
      </c>
      <c r="AI88">
        <v>1</v>
      </c>
      <c r="AQ88">
        <v>1</v>
      </c>
      <c r="AS88">
        <v>53</v>
      </c>
      <c r="AU88">
        <v>20</v>
      </c>
      <c r="AV88">
        <v>1</v>
      </c>
      <c r="AW88" s="155">
        <v>45790</v>
      </c>
      <c r="AX88" s="155"/>
      <c r="AY88">
        <v>9003190090</v>
      </c>
      <c r="AZ88">
        <v>34</v>
      </c>
      <c r="BA88">
        <v>239</v>
      </c>
      <c r="BF88">
        <v>0</v>
      </c>
      <c r="BG88" t="s">
        <v>436</v>
      </c>
      <c r="BH88" t="s">
        <v>436</v>
      </c>
      <c r="BI88" t="s">
        <v>72</v>
      </c>
      <c r="BJ88" t="s">
        <v>72</v>
      </c>
      <c r="BU88" s="155">
        <v>45790</v>
      </c>
      <c r="BV88" s="155"/>
    </row>
    <row r="89" spans="1:74" x14ac:dyDescent="0.25">
      <c r="A89" t="s">
        <v>59</v>
      </c>
      <c r="B89" t="s">
        <v>330</v>
      </c>
      <c r="C89" t="s">
        <v>59</v>
      </c>
      <c r="D89" t="s">
        <v>330</v>
      </c>
      <c r="E89" t="s">
        <v>671</v>
      </c>
      <c r="G89" s="154"/>
      <c r="H89" s="154"/>
      <c r="I89" s="154" t="s">
        <v>672</v>
      </c>
      <c r="J89" s="154" t="s">
        <v>673</v>
      </c>
      <c r="K89" s="154" t="s">
        <v>669</v>
      </c>
      <c r="L89" s="154" t="s">
        <v>673</v>
      </c>
      <c r="M89" s="154" t="s">
        <v>673</v>
      </c>
      <c r="N89" s="154"/>
      <c r="O89" s="154"/>
      <c r="P89" t="s">
        <v>72</v>
      </c>
      <c r="Q89" t="s">
        <v>72</v>
      </c>
      <c r="R89">
        <v>53</v>
      </c>
      <c r="S89">
        <v>20</v>
      </c>
      <c r="T89">
        <v>145</v>
      </c>
      <c r="U89">
        <v>0</v>
      </c>
      <c r="V89" t="s">
        <v>620</v>
      </c>
      <c r="W89" s="154"/>
      <c r="X89" s="154" t="s">
        <v>464</v>
      </c>
      <c r="Y89" s="154" t="s">
        <v>464</v>
      </c>
      <c r="Z89">
        <v>0</v>
      </c>
      <c r="AB89">
        <v>145</v>
      </c>
      <c r="AH89">
        <v>1</v>
      </c>
      <c r="AI89">
        <v>1</v>
      </c>
      <c r="AQ89">
        <v>1</v>
      </c>
      <c r="AS89">
        <v>53</v>
      </c>
      <c r="AU89">
        <v>20</v>
      </c>
      <c r="AV89">
        <v>1</v>
      </c>
      <c r="AW89" s="155">
        <v>45790</v>
      </c>
      <c r="AX89" s="155"/>
      <c r="AY89">
        <v>9003190090</v>
      </c>
      <c r="AZ89">
        <v>34</v>
      </c>
      <c r="BA89">
        <v>239</v>
      </c>
      <c r="BF89">
        <v>0</v>
      </c>
      <c r="BG89" t="s">
        <v>436</v>
      </c>
      <c r="BH89" t="s">
        <v>436</v>
      </c>
      <c r="BI89" t="s">
        <v>72</v>
      </c>
      <c r="BJ89" t="s">
        <v>72</v>
      </c>
      <c r="BU89" s="155">
        <v>45790</v>
      </c>
      <c r="BV89" s="155"/>
    </row>
    <row r="90" spans="1:74" x14ac:dyDescent="0.25">
      <c r="A90" t="s">
        <v>59</v>
      </c>
      <c r="B90" t="s">
        <v>330</v>
      </c>
      <c r="C90" t="s">
        <v>59</v>
      </c>
      <c r="D90" t="s">
        <v>330</v>
      </c>
      <c r="E90" t="s">
        <v>674</v>
      </c>
      <c r="G90" s="154"/>
      <c r="H90" s="154"/>
      <c r="I90" s="154" t="s">
        <v>675</v>
      </c>
      <c r="J90" s="154" t="s">
        <v>676</v>
      </c>
      <c r="K90" s="154" t="s">
        <v>677</v>
      </c>
      <c r="L90" s="154" t="s">
        <v>676</v>
      </c>
      <c r="M90" s="154" t="s">
        <v>676</v>
      </c>
      <c r="N90" s="154"/>
      <c r="O90" s="154"/>
      <c r="P90" t="s">
        <v>72</v>
      </c>
      <c r="Q90" t="s">
        <v>72</v>
      </c>
      <c r="R90">
        <v>46</v>
      </c>
      <c r="S90">
        <v>22</v>
      </c>
      <c r="T90">
        <v>145</v>
      </c>
      <c r="U90">
        <v>0</v>
      </c>
      <c r="V90" t="s">
        <v>620</v>
      </c>
      <c r="W90" s="154"/>
      <c r="X90" s="154" t="s">
        <v>678</v>
      </c>
      <c r="Y90" s="154" t="s">
        <v>678</v>
      </c>
      <c r="Z90">
        <v>0</v>
      </c>
      <c r="AB90">
        <v>145</v>
      </c>
      <c r="AH90">
        <v>1</v>
      </c>
      <c r="AI90">
        <v>1</v>
      </c>
      <c r="AQ90">
        <v>1</v>
      </c>
      <c r="AS90">
        <v>46</v>
      </c>
      <c r="AU90">
        <v>22</v>
      </c>
      <c r="AV90">
        <v>1</v>
      </c>
      <c r="AW90" s="155">
        <v>45790</v>
      </c>
      <c r="AX90" s="155"/>
      <c r="AY90">
        <v>9003190090</v>
      </c>
      <c r="AZ90">
        <v>38</v>
      </c>
      <c r="BA90">
        <v>249</v>
      </c>
      <c r="BF90">
        <v>0</v>
      </c>
      <c r="BG90" t="s">
        <v>436</v>
      </c>
      <c r="BH90" t="s">
        <v>436</v>
      </c>
      <c r="BI90" t="s">
        <v>72</v>
      </c>
      <c r="BJ90" t="s">
        <v>72</v>
      </c>
      <c r="BU90" s="155">
        <v>45790</v>
      </c>
      <c r="BV90" s="155"/>
    </row>
    <row r="91" spans="1:74" x14ac:dyDescent="0.25">
      <c r="A91" t="s">
        <v>59</v>
      </c>
      <c r="B91" t="s">
        <v>330</v>
      </c>
      <c r="C91" t="s">
        <v>59</v>
      </c>
      <c r="D91" t="s">
        <v>330</v>
      </c>
      <c r="E91" t="s">
        <v>679</v>
      </c>
      <c r="G91" s="154"/>
      <c r="H91" s="154"/>
      <c r="I91" s="154" t="s">
        <v>680</v>
      </c>
      <c r="J91" s="154" t="s">
        <v>681</v>
      </c>
      <c r="K91" s="154" t="s">
        <v>677</v>
      </c>
      <c r="L91" s="154" t="s">
        <v>681</v>
      </c>
      <c r="M91" s="154" t="s">
        <v>681</v>
      </c>
      <c r="N91" s="154"/>
      <c r="O91" s="154"/>
      <c r="P91" t="s">
        <v>72</v>
      </c>
      <c r="Q91" t="s">
        <v>72</v>
      </c>
      <c r="R91">
        <v>46</v>
      </c>
      <c r="S91">
        <v>22</v>
      </c>
      <c r="T91">
        <v>145</v>
      </c>
      <c r="U91">
        <v>0</v>
      </c>
      <c r="V91" t="s">
        <v>620</v>
      </c>
      <c r="W91" s="154"/>
      <c r="X91" s="154" t="s">
        <v>480</v>
      </c>
      <c r="Y91" s="154" t="s">
        <v>480</v>
      </c>
      <c r="Z91">
        <v>0</v>
      </c>
      <c r="AB91">
        <v>145</v>
      </c>
      <c r="AH91">
        <v>1</v>
      </c>
      <c r="AI91">
        <v>1</v>
      </c>
      <c r="AQ91">
        <v>1</v>
      </c>
      <c r="AS91">
        <v>46</v>
      </c>
      <c r="AU91">
        <v>22</v>
      </c>
      <c r="AV91">
        <v>1</v>
      </c>
      <c r="AW91" s="155">
        <v>45790</v>
      </c>
      <c r="AX91" s="155"/>
      <c r="AY91">
        <v>9003190090</v>
      </c>
      <c r="AZ91">
        <v>38</v>
      </c>
      <c r="BA91">
        <v>249</v>
      </c>
      <c r="BF91">
        <v>0</v>
      </c>
      <c r="BG91" t="s">
        <v>436</v>
      </c>
      <c r="BH91" t="s">
        <v>436</v>
      </c>
      <c r="BI91" t="s">
        <v>72</v>
      </c>
      <c r="BJ91" t="s">
        <v>72</v>
      </c>
      <c r="BU91" s="155">
        <v>45790</v>
      </c>
      <c r="BV91" s="155"/>
    </row>
    <row r="92" spans="1:74" x14ac:dyDescent="0.25">
      <c r="A92" t="s">
        <v>59</v>
      </c>
      <c r="B92" t="s">
        <v>330</v>
      </c>
      <c r="C92" t="s">
        <v>59</v>
      </c>
      <c r="D92" t="s">
        <v>330</v>
      </c>
      <c r="E92" t="s">
        <v>682</v>
      </c>
      <c r="G92" s="154"/>
      <c r="H92" s="154"/>
      <c r="I92" s="154" t="s">
        <v>683</v>
      </c>
      <c r="J92" s="154" t="s">
        <v>684</v>
      </c>
      <c r="K92" s="154" t="s">
        <v>685</v>
      </c>
      <c r="L92" s="154" t="s">
        <v>684</v>
      </c>
      <c r="M92" s="154" t="s">
        <v>684</v>
      </c>
      <c r="N92" s="154"/>
      <c r="O92" s="154"/>
      <c r="P92" t="s">
        <v>72</v>
      </c>
      <c r="Q92" t="s">
        <v>72</v>
      </c>
      <c r="R92">
        <v>49</v>
      </c>
      <c r="S92">
        <v>21</v>
      </c>
      <c r="T92">
        <v>145</v>
      </c>
      <c r="U92">
        <v>0</v>
      </c>
      <c r="V92" t="s">
        <v>620</v>
      </c>
      <c r="W92" s="154"/>
      <c r="X92" s="154" t="s">
        <v>480</v>
      </c>
      <c r="Y92" s="154" t="s">
        <v>480</v>
      </c>
      <c r="Z92">
        <v>0</v>
      </c>
      <c r="AB92">
        <v>145</v>
      </c>
      <c r="AH92">
        <v>1</v>
      </c>
      <c r="AI92">
        <v>1</v>
      </c>
      <c r="AQ92">
        <v>1</v>
      </c>
      <c r="AS92">
        <v>49</v>
      </c>
      <c r="AU92">
        <v>21</v>
      </c>
      <c r="AV92">
        <v>1</v>
      </c>
      <c r="AW92" s="155">
        <v>45790</v>
      </c>
      <c r="AX92" s="155"/>
      <c r="AY92">
        <v>9003190090</v>
      </c>
      <c r="AZ92">
        <v>38</v>
      </c>
      <c r="BA92">
        <v>249</v>
      </c>
      <c r="BF92">
        <v>0</v>
      </c>
      <c r="BG92" t="s">
        <v>436</v>
      </c>
      <c r="BH92" t="s">
        <v>436</v>
      </c>
      <c r="BI92" t="s">
        <v>72</v>
      </c>
      <c r="BJ92" t="s">
        <v>72</v>
      </c>
      <c r="BU92" s="155">
        <v>45790</v>
      </c>
      <c r="BV92" s="155"/>
    </row>
    <row r="93" spans="1:74" x14ac:dyDescent="0.25">
      <c r="A93" t="s">
        <v>59</v>
      </c>
      <c r="B93" t="s">
        <v>330</v>
      </c>
      <c r="C93" t="s">
        <v>59</v>
      </c>
      <c r="D93" t="s">
        <v>330</v>
      </c>
      <c r="E93" t="s">
        <v>686</v>
      </c>
      <c r="G93" s="154"/>
      <c r="H93" s="154"/>
      <c r="I93" s="154" t="s">
        <v>687</v>
      </c>
      <c r="J93" s="154" t="s">
        <v>688</v>
      </c>
      <c r="K93" s="154" t="s">
        <v>685</v>
      </c>
      <c r="L93" s="154" t="s">
        <v>688</v>
      </c>
      <c r="M93" s="154" t="s">
        <v>688</v>
      </c>
      <c r="N93" s="154"/>
      <c r="O93" s="154"/>
      <c r="P93" t="s">
        <v>72</v>
      </c>
      <c r="Q93" t="s">
        <v>72</v>
      </c>
      <c r="R93">
        <v>49</v>
      </c>
      <c r="S93">
        <v>21</v>
      </c>
      <c r="T93">
        <v>145</v>
      </c>
      <c r="U93">
        <v>0</v>
      </c>
      <c r="V93" t="s">
        <v>620</v>
      </c>
      <c r="W93" s="154"/>
      <c r="X93" s="154" t="s">
        <v>419</v>
      </c>
      <c r="Y93" s="154" t="s">
        <v>419</v>
      </c>
      <c r="Z93">
        <v>0</v>
      </c>
      <c r="AB93">
        <v>145</v>
      </c>
      <c r="AH93">
        <v>1</v>
      </c>
      <c r="AI93">
        <v>1</v>
      </c>
      <c r="AQ93">
        <v>1</v>
      </c>
      <c r="AS93">
        <v>49</v>
      </c>
      <c r="AU93">
        <v>21</v>
      </c>
      <c r="AV93">
        <v>1</v>
      </c>
      <c r="AW93" s="155">
        <v>45790</v>
      </c>
      <c r="AX93" s="155"/>
      <c r="AY93">
        <v>9003190090</v>
      </c>
      <c r="AZ93">
        <v>38</v>
      </c>
      <c r="BA93">
        <v>249</v>
      </c>
      <c r="BF93">
        <v>0</v>
      </c>
      <c r="BG93" t="s">
        <v>436</v>
      </c>
      <c r="BH93" t="s">
        <v>436</v>
      </c>
      <c r="BI93" t="s">
        <v>72</v>
      </c>
      <c r="BJ93" t="s">
        <v>72</v>
      </c>
      <c r="BU93" s="155">
        <v>45790</v>
      </c>
      <c r="BV93" s="155"/>
    </row>
    <row r="94" spans="1:74" x14ac:dyDescent="0.25">
      <c r="A94" t="s">
        <v>59</v>
      </c>
      <c r="B94" t="s">
        <v>330</v>
      </c>
      <c r="C94" t="s">
        <v>59</v>
      </c>
      <c r="D94" t="s">
        <v>330</v>
      </c>
      <c r="E94" t="s">
        <v>689</v>
      </c>
      <c r="G94" s="154"/>
      <c r="H94" s="154"/>
      <c r="I94" s="154" t="s">
        <v>690</v>
      </c>
      <c r="J94" s="154" t="s">
        <v>691</v>
      </c>
      <c r="K94" s="154" t="s">
        <v>692</v>
      </c>
      <c r="L94" s="154" t="s">
        <v>691</v>
      </c>
      <c r="M94" s="154" t="s">
        <v>691</v>
      </c>
      <c r="N94" s="154"/>
      <c r="O94" s="154"/>
      <c r="P94" t="s">
        <v>72</v>
      </c>
      <c r="Q94" t="s">
        <v>72</v>
      </c>
      <c r="R94">
        <v>47</v>
      </c>
      <c r="S94">
        <v>23</v>
      </c>
      <c r="T94">
        <v>145</v>
      </c>
      <c r="U94">
        <v>0</v>
      </c>
      <c r="V94" t="s">
        <v>620</v>
      </c>
      <c r="W94" s="154"/>
      <c r="X94" s="154" t="s">
        <v>480</v>
      </c>
      <c r="Y94" s="154" t="s">
        <v>480</v>
      </c>
      <c r="Z94">
        <v>0</v>
      </c>
      <c r="AB94">
        <v>145</v>
      </c>
      <c r="AH94">
        <v>1</v>
      </c>
      <c r="AI94">
        <v>1</v>
      </c>
      <c r="AQ94">
        <v>1</v>
      </c>
      <c r="AS94">
        <v>47</v>
      </c>
      <c r="AU94">
        <v>23</v>
      </c>
      <c r="AV94">
        <v>1</v>
      </c>
      <c r="AW94" s="155">
        <v>45790</v>
      </c>
      <c r="AX94" s="155"/>
      <c r="AY94">
        <v>9003190090</v>
      </c>
      <c r="AZ94">
        <v>38</v>
      </c>
      <c r="BA94">
        <v>249</v>
      </c>
      <c r="BF94">
        <v>0</v>
      </c>
      <c r="BG94" t="s">
        <v>436</v>
      </c>
      <c r="BH94" t="s">
        <v>436</v>
      </c>
      <c r="BI94" t="s">
        <v>72</v>
      </c>
      <c r="BJ94" t="s">
        <v>72</v>
      </c>
      <c r="BU94" s="155">
        <v>45790</v>
      </c>
      <c r="BV94" s="155"/>
    </row>
    <row r="95" spans="1:74" x14ac:dyDescent="0.25">
      <c r="A95" t="s">
        <v>59</v>
      </c>
      <c r="B95" t="s">
        <v>330</v>
      </c>
      <c r="C95" t="s">
        <v>59</v>
      </c>
      <c r="D95" t="s">
        <v>330</v>
      </c>
      <c r="E95" t="s">
        <v>693</v>
      </c>
      <c r="G95" s="154"/>
      <c r="H95" s="154"/>
      <c r="I95" s="154" t="s">
        <v>694</v>
      </c>
      <c r="J95" s="154" t="s">
        <v>695</v>
      </c>
      <c r="K95" s="154" t="s">
        <v>692</v>
      </c>
      <c r="L95" s="154" t="s">
        <v>695</v>
      </c>
      <c r="M95" s="154" t="s">
        <v>695</v>
      </c>
      <c r="N95" s="154"/>
      <c r="O95" s="154"/>
      <c r="P95" t="s">
        <v>72</v>
      </c>
      <c r="Q95" t="s">
        <v>72</v>
      </c>
      <c r="R95">
        <v>47</v>
      </c>
      <c r="S95">
        <v>23</v>
      </c>
      <c r="T95">
        <v>145</v>
      </c>
      <c r="U95">
        <v>0</v>
      </c>
      <c r="V95" t="s">
        <v>620</v>
      </c>
      <c r="W95" s="154"/>
      <c r="X95" s="154" t="s">
        <v>393</v>
      </c>
      <c r="Y95" s="154" t="s">
        <v>393</v>
      </c>
      <c r="Z95">
        <v>0</v>
      </c>
      <c r="AB95">
        <v>145</v>
      </c>
      <c r="AH95">
        <v>1</v>
      </c>
      <c r="AI95">
        <v>1</v>
      </c>
      <c r="AQ95">
        <v>1</v>
      </c>
      <c r="AS95">
        <v>47</v>
      </c>
      <c r="AU95">
        <v>23</v>
      </c>
      <c r="AV95">
        <v>1</v>
      </c>
      <c r="AW95" s="155">
        <v>45790</v>
      </c>
      <c r="AX95" s="155"/>
      <c r="AY95">
        <v>9003190090</v>
      </c>
      <c r="AZ95">
        <v>38</v>
      </c>
      <c r="BA95">
        <v>249</v>
      </c>
      <c r="BF95">
        <v>0</v>
      </c>
      <c r="BG95" t="s">
        <v>436</v>
      </c>
      <c r="BH95" t="s">
        <v>436</v>
      </c>
      <c r="BI95" t="s">
        <v>72</v>
      </c>
      <c r="BJ95" t="s">
        <v>72</v>
      </c>
      <c r="BU95" s="155">
        <v>45790</v>
      </c>
      <c r="BV95" s="155"/>
    </row>
    <row r="96" spans="1:74" x14ac:dyDescent="0.25">
      <c r="A96" t="s">
        <v>59</v>
      </c>
      <c r="B96" t="s">
        <v>330</v>
      </c>
      <c r="C96" t="s">
        <v>59</v>
      </c>
      <c r="D96" t="s">
        <v>330</v>
      </c>
      <c r="E96" t="s">
        <v>696</v>
      </c>
      <c r="G96" s="154"/>
      <c r="H96" s="154"/>
      <c r="I96" s="154" t="s">
        <v>697</v>
      </c>
      <c r="J96" s="154" t="s">
        <v>698</v>
      </c>
      <c r="K96" s="154" t="s">
        <v>699</v>
      </c>
      <c r="L96" s="154" t="s">
        <v>698</v>
      </c>
      <c r="M96" s="154" t="s">
        <v>698</v>
      </c>
      <c r="N96" s="154"/>
      <c r="O96" s="154"/>
      <c r="P96" t="s">
        <v>72</v>
      </c>
      <c r="Q96" t="s">
        <v>72</v>
      </c>
      <c r="R96">
        <v>51</v>
      </c>
      <c r="S96">
        <v>20</v>
      </c>
      <c r="T96">
        <v>145</v>
      </c>
      <c r="U96">
        <v>0</v>
      </c>
      <c r="V96" t="s">
        <v>620</v>
      </c>
      <c r="W96" s="154"/>
      <c r="X96" s="154" t="s">
        <v>389</v>
      </c>
      <c r="Y96" s="154" t="s">
        <v>389</v>
      </c>
      <c r="Z96">
        <v>0</v>
      </c>
      <c r="AB96">
        <v>145</v>
      </c>
      <c r="AH96">
        <v>1</v>
      </c>
      <c r="AI96">
        <v>1</v>
      </c>
      <c r="AQ96">
        <v>1</v>
      </c>
      <c r="AS96">
        <v>51</v>
      </c>
      <c r="AU96">
        <v>20</v>
      </c>
      <c r="AV96">
        <v>1</v>
      </c>
      <c r="AW96" s="155">
        <v>45790</v>
      </c>
      <c r="AX96" s="155"/>
      <c r="AY96">
        <v>9003190090</v>
      </c>
      <c r="AZ96">
        <v>38</v>
      </c>
      <c r="BA96">
        <v>249</v>
      </c>
      <c r="BF96">
        <v>0</v>
      </c>
      <c r="BG96" t="s">
        <v>436</v>
      </c>
      <c r="BH96" t="s">
        <v>436</v>
      </c>
      <c r="BI96" t="s">
        <v>72</v>
      </c>
      <c r="BJ96" t="s">
        <v>72</v>
      </c>
      <c r="BU96" s="155">
        <v>45790</v>
      </c>
      <c r="BV96" s="155"/>
    </row>
    <row r="97" spans="1:74" x14ac:dyDescent="0.25">
      <c r="A97" t="s">
        <v>59</v>
      </c>
      <c r="B97" t="s">
        <v>330</v>
      </c>
      <c r="C97" t="s">
        <v>59</v>
      </c>
      <c r="D97" t="s">
        <v>330</v>
      </c>
      <c r="E97" t="s">
        <v>700</v>
      </c>
      <c r="G97" s="154"/>
      <c r="H97" s="154"/>
      <c r="I97" s="154" t="s">
        <v>701</v>
      </c>
      <c r="J97" s="154" t="s">
        <v>702</v>
      </c>
      <c r="K97" s="154" t="s">
        <v>699</v>
      </c>
      <c r="L97" s="154" t="s">
        <v>702</v>
      </c>
      <c r="M97" s="154" t="s">
        <v>702</v>
      </c>
      <c r="N97" s="154"/>
      <c r="O97" s="154"/>
      <c r="P97" t="s">
        <v>72</v>
      </c>
      <c r="Q97" t="s">
        <v>72</v>
      </c>
      <c r="R97">
        <v>51</v>
      </c>
      <c r="S97">
        <v>20</v>
      </c>
      <c r="T97">
        <v>145</v>
      </c>
      <c r="U97">
        <v>0</v>
      </c>
      <c r="V97" t="s">
        <v>620</v>
      </c>
      <c r="W97" s="154"/>
      <c r="X97" s="154" t="s">
        <v>419</v>
      </c>
      <c r="Y97" s="154" t="s">
        <v>419</v>
      </c>
      <c r="Z97">
        <v>0</v>
      </c>
      <c r="AB97">
        <v>145</v>
      </c>
      <c r="AH97">
        <v>1</v>
      </c>
      <c r="AI97">
        <v>1</v>
      </c>
      <c r="AQ97">
        <v>1</v>
      </c>
      <c r="AS97">
        <v>51</v>
      </c>
      <c r="AU97">
        <v>20</v>
      </c>
      <c r="AV97">
        <v>1</v>
      </c>
      <c r="AW97" s="155">
        <v>45790</v>
      </c>
      <c r="AX97" s="155"/>
      <c r="AY97">
        <v>9003190090</v>
      </c>
      <c r="AZ97">
        <v>38</v>
      </c>
      <c r="BA97">
        <v>249</v>
      </c>
      <c r="BF97">
        <v>0</v>
      </c>
      <c r="BG97" t="s">
        <v>436</v>
      </c>
      <c r="BH97" t="s">
        <v>436</v>
      </c>
      <c r="BI97" t="s">
        <v>72</v>
      </c>
      <c r="BJ97" t="s">
        <v>72</v>
      </c>
      <c r="BU97" s="155">
        <v>45790</v>
      </c>
      <c r="BV97" s="1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203F-F7B6-4EE8-9DF2-E8EA955550D5}">
  <dimension ref="A1:BV4"/>
  <sheetViews>
    <sheetView workbookViewId="0"/>
  </sheetViews>
  <sheetFormatPr baseColWidth="10" defaultRowHeight="15" x14ac:dyDescent="0.25"/>
  <cols>
    <col min="1" max="1" width="8.85546875" bestFit="1" customWidth="1"/>
    <col min="2" max="2" width="16.42578125" bestFit="1" customWidth="1"/>
    <col min="3" max="3" width="10.85546875" bestFit="1" customWidth="1"/>
    <col min="4" max="4" width="23" bestFit="1" customWidth="1"/>
    <col min="5" max="5" width="15" bestFit="1" customWidth="1"/>
    <col min="6" max="6" width="8" bestFit="1" customWidth="1"/>
    <col min="7" max="7" width="9.140625" bestFit="1" customWidth="1"/>
    <col min="8" max="8" width="18.5703125" bestFit="1" customWidth="1"/>
    <col min="9" max="9" width="19" bestFit="1" customWidth="1"/>
    <col min="10" max="10" width="13.7109375" bestFit="1" customWidth="1"/>
    <col min="11" max="11" width="10" bestFit="1" customWidth="1"/>
    <col min="12" max="13" width="13.7109375" bestFit="1" customWidth="1"/>
    <col min="14" max="14" width="4.5703125" bestFit="1" customWidth="1"/>
    <col min="15" max="15" width="14" bestFit="1" customWidth="1"/>
    <col min="17" max="17" width="9.85546875" bestFit="1" customWidth="1"/>
    <col min="18" max="18" width="8.5703125" bestFit="1" customWidth="1"/>
    <col min="19" max="19" width="10.140625" bestFit="1" customWidth="1"/>
    <col min="20" max="20" width="10.85546875" bestFit="1" customWidth="1"/>
    <col min="21" max="21" width="11" bestFit="1" customWidth="1"/>
    <col min="22" max="22" width="14.42578125" bestFit="1" customWidth="1"/>
    <col min="23" max="23" width="12.42578125" bestFit="1" customWidth="1"/>
    <col min="24" max="24" width="10.28515625" bestFit="1" customWidth="1"/>
    <col min="25" max="25" width="10" bestFit="1" customWidth="1"/>
    <col min="26" max="26" width="10.28515625" bestFit="1" customWidth="1"/>
    <col min="28" max="28" width="10.85546875" bestFit="1" customWidth="1"/>
    <col min="29" max="30" width="10.7109375" bestFit="1" customWidth="1"/>
    <col min="31" max="31" width="10.85546875" bestFit="1" customWidth="1"/>
    <col min="32" max="32" width="9.85546875" bestFit="1" customWidth="1"/>
    <col min="33" max="33" width="10.5703125" bestFit="1" customWidth="1"/>
    <col min="34" max="34" width="11.28515625" bestFit="1" customWidth="1"/>
    <col min="35" max="35" width="10.42578125" bestFit="1" customWidth="1"/>
    <col min="36" max="36" width="9" bestFit="1" customWidth="1"/>
    <col min="37" max="38" width="9.5703125" bestFit="1" customWidth="1"/>
    <col min="39" max="39" width="10.5703125" bestFit="1" customWidth="1"/>
    <col min="40" max="40" width="8.85546875" bestFit="1" customWidth="1"/>
    <col min="41" max="41" width="9" bestFit="1" customWidth="1"/>
    <col min="42" max="42" width="9.7109375" bestFit="1" customWidth="1"/>
    <col min="43" max="43" width="10.5703125" bestFit="1" customWidth="1"/>
    <col min="45" max="45" width="10.28515625" bestFit="1" customWidth="1"/>
    <col min="46" max="46" width="10.85546875" bestFit="1" customWidth="1"/>
    <col min="47" max="47" width="8.85546875" bestFit="1" customWidth="1"/>
    <col min="48" max="48" width="11.5703125" bestFit="1" customWidth="1"/>
    <col min="49" max="50" width="10.7109375" bestFit="1" customWidth="1"/>
    <col min="51" max="51" width="11" bestFit="1" customWidth="1"/>
    <col min="52" max="53" width="5.85546875" bestFit="1" customWidth="1"/>
    <col min="54" max="57" width="29.7109375" bestFit="1" customWidth="1"/>
    <col min="58" max="58" width="10.28515625" bestFit="1" customWidth="1"/>
    <col min="61" max="61" width="11" bestFit="1" customWidth="1"/>
    <col min="62" max="62" width="10.42578125" bestFit="1" customWidth="1"/>
    <col min="63" max="64" width="11.28515625" bestFit="1" customWidth="1"/>
    <col min="65" max="65" width="6.42578125" bestFit="1" customWidth="1"/>
    <col min="66" max="66" width="9.140625" bestFit="1" customWidth="1"/>
    <col min="67" max="67" width="6.42578125" bestFit="1" customWidth="1"/>
    <col min="68" max="68" width="7.28515625" bestFit="1" customWidth="1"/>
    <col min="69" max="70" width="9.140625" bestFit="1" customWidth="1"/>
    <col min="71" max="71" width="60.28515625" bestFit="1" customWidth="1"/>
    <col min="72" max="72" width="8.28515625" bestFit="1" customWidth="1"/>
    <col min="73" max="73" width="15.5703125" bestFit="1" customWidth="1"/>
    <col min="74" max="74" width="19.7109375" bestFit="1" customWidth="1"/>
  </cols>
  <sheetData>
    <row r="1" spans="1:74" x14ac:dyDescent="0.25">
      <c r="A1" s="149" t="s">
        <v>327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50" t="s">
        <v>328</v>
      </c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1" t="s">
        <v>329</v>
      </c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51"/>
      <c r="BQ1" s="151"/>
      <c r="BR1" s="151"/>
      <c r="BS1" s="151"/>
      <c r="BT1" s="151"/>
      <c r="BU1" s="151"/>
      <c r="BV1" s="151"/>
    </row>
    <row r="2" spans="1:74" ht="142.5" customHeight="1" x14ac:dyDescent="0.25">
      <c r="A2" s="156" t="s">
        <v>0</v>
      </c>
      <c r="B2" s="157" t="s">
        <v>58</v>
      </c>
      <c r="C2" s="156" t="s">
        <v>299</v>
      </c>
      <c r="D2" s="157" t="s">
        <v>300</v>
      </c>
      <c r="E2" s="156" t="s">
        <v>4</v>
      </c>
      <c r="F2" s="156" t="s">
        <v>282</v>
      </c>
      <c r="G2" s="156" t="s">
        <v>283</v>
      </c>
      <c r="H2" s="157" t="s">
        <v>284</v>
      </c>
      <c r="I2" s="156" t="s">
        <v>5</v>
      </c>
      <c r="J2" s="156" t="s">
        <v>6</v>
      </c>
      <c r="K2" s="156" t="s">
        <v>7</v>
      </c>
      <c r="L2" s="156" t="s">
        <v>8</v>
      </c>
      <c r="M2" s="156" t="s">
        <v>9</v>
      </c>
      <c r="N2" s="157" t="s">
        <v>285</v>
      </c>
      <c r="O2" s="157" t="s">
        <v>286</v>
      </c>
      <c r="P2" s="156" t="s">
        <v>301</v>
      </c>
      <c r="Q2" s="156" t="s">
        <v>302</v>
      </c>
      <c r="R2" s="156" t="s">
        <v>10</v>
      </c>
      <c r="S2" s="156" t="s">
        <v>11</v>
      </c>
      <c r="T2" s="156" t="s">
        <v>12</v>
      </c>
      <c r="U2" s="156" t="s">
        <v>303</v>
      </c>
      <c r="V2" s="156" t="s">
        <v>304</v>
      </c>
      <c r="W2" s="156" t="s">
        <v>305</v>
      </c>
      <c r="X2" s="156" t="s">
        <v>287</v>
      </c>
      <c r="Y2" s="156" t="s">
        <v>288</v>
      </c>
      <c r="Z2" s="156" t="s">
        <v>306</v>
      </c>
      <c r="AA2" s="156" t="s">
        <v>291</v>
      </c>
      <c r="AB2" s="156" t="s">
        <v>13</v>
      </c>
      <c r="AC2" s="156" t="s">
        <v>14</v>
      </c>
      <c r="AD2" s="156" t="s">
        <v>15</v>
      </c>
      <c r="AE2" s="156" t="s">
        <v>16</v>
      </c>
      <c r="AF2" s="156" t="s">
        <v>17</v>
      </c>
      <c r="AG2" s="156" t="s">
        <v>18</v>
      </c>
      <c r="AH2" s="156" t="s">
        <v>307</v>
      </c>
      <c r="AI2" s="156" t="s">
        <v>19</v>
      </c>
      <c r="AJ2" s="156" t="s">
        <v>20</v>
      </c>
      <c r="AK2" s="156" t="s">
        <v>308</v>
      </c>
      <c r="AL2" s="156" t="s">
        <v>309</v>
      </c>
      <c r="AM2" s="156" t="s">
        <v>310</v>
      </c>
      <c r="AN2" s="156" t="s">
        <v>311</v>
      </c>
      <c r="AO2" s="156" t="s">
        <v>312</v>
      </c>
      <c r="AP2" s="156" t="s">
        <v>25</v>
      </c>
      <c r="AQ2" s="156" t="s">
        <v>313</v>
      </c>
      <c r="AR2" s="156" t="s">
        <v>314</v>
      </c>
      <c r="AS2" s="156" t="s">
        <v>22</v>
      </c>
      <c r="AT2" s="156" t="s">
        <v>23</v>
      </c>
      <c r="AU2" s="156" t="s">
        <v>24</v>
      </c>
      <c r="AV2" s="156" t="s">
        <v>315</v>
      </c>
      <c r="AW2" s="156" t="s">
        <v>316</v>
      </c>
      <c r="AX2" s="156" t="s">
        <v>317</v>
      </c>
      <c r="AY2" s="156" t="s">
        <v>201</v>
      </c>
      <c r="AZ2" s="156" t="s">
        <v>318</v>
      </c>
      <c r="BA2" s="156" t="s">
        <v>319</v>
      </c>
      <c r="BB2" s="157" t="s">
        <v>296</v>
      </c>
      <c r="BC2" s="157" t="s">
        <v>296</v>
      </c>
      <c r="BD2" s="157" t="s">
        <v>296</v>
      </c>
      <c r="BE2" s="157" t="s">
        <v>296</v>
      </c>
      <c r="BF2" s="156" t="s">
        <v>320</v>
      </c>
      <c r="BG2" s="156" t="s">
        <v>321</v>
      </c>
      <c r="BH2" s="156" t="s">
        <v>322</v>
      </c>
      <c r="BI2" s="156" t="s">
        <v>323</v>
      </c>
      <c r="BJ2" s="156" t="s">
        <v>324</v>
      </c>
      <c r="BK2" s="156" t="s">
        <v>28</v>
      </c>
      <c r="BL2" s="156" t="s">
        <v>29</v>
      </c>
      <c r="BM2" s="156" t="s">
        <v>30</v>
      </c>
      <c r="BN2" s="156" t="s">
        <v>31</v>
      </c>
      <c r="BO2" s="156" t="s">
        <v>32</v>
      </c>
      <c r="BP2" s="156" t="s">
        <v>33</v>
      </c>
      <c r="BQ2" s="156" t="s">
        <v>34</v>
      </c>
      <c r="BR2" s="156" t="s">
        <v>35</v>
      </c>
      <c r="BS2" s="156" t="s">
        <v>297</v>
      </c>
      <c r="BT2" s="156" t="s">
        <v>298</v>
      </c>
      <c r="BU2" s="157" t="s">
        <v>36</v>
      </c>
      <c r="BV2" s="157" t="s">
        <v>37</v>
      </c>
    </row>
    <row r="3" spans="1:74" x14ac:dyDescent="0.25">
      <c r="A3" t="s">
        <v>280</v>
      </c>
      <c r="B3" t="s">
        <v>269</v>
      </c>
      <c r="C3" t="s">
        <v>59</v>
      </c>
      <c r="D3" t="s">
        <v>64</v>
      </c>
      <c r="E3" t="s">
        <v>703</v>
      </c>
      <c r="G3" s="154"/>
      <c r="H3" s="154"/>
      <c r="I3" s="154" t="s">
        <v>704</v>
      </c>
      <c r="J3" s="154" t="s">
        <v>705</v>
      </c>
      <c r="K3" s="154" t="s">
        <v>706</v>
      </c>
      <c r="L3" s="154" t="s">
        <v>705</v>
      </c>
      <c r="M3" s="154" t="s">
        <v>705</v>
      </c>
      <c r="N3" s="154" t="s">
        <v>707</v>
      </c>
      <c r="O3" s="154" t="s">
        <v>708</v>
      </c>
      <c r="P3" t="s">
        <v>453</v>
      </c>
      <c r="Q3" t="s">
        <v>72</v>
      </c>
      <c r="R3">
        <v>51</v>
      </c>
      <c r="S3">
        <v>23</v>
      </c>
      <c r="T3">
        <v>145</v>
      </c>
      <c r="U3" t="s">
        <v>709</v>
      </c>
      <c r="V3" s="154" t="s">
        <v>710</v>
      </c>
      <c r="W3" s="154" t="s">
        <v>711</v>
      </c>
      <c r="X3" t="s">
        <v>712</v>
      </c>
      <c r="Y3" t="s">
        <v>713</v>
      </c>
      <c r="Z3" t="s">
        <v>707</v>
      </c>
      <c r="AA3" t="s">
        <v>707</v>
      </c>
      <c r="AB3">
        <v>145</v>
      </c>
      <c r="AC3" t="s">
        <v>707</v>
      </c>
      <c r="AH3" t="s">
        <v>714</v>
      </c>
      <c r="AI3" t="s">
        <v>715</v>
      </c>
      <c r="AJ3" t="s">
        <v>716</v>
      </c>
      <c r="AK3" t="s">
        <v>717</v>
      </c>
      <c r="AL3">
        <v>3</v>
      </c>
      <c r="AM3">
        <v>1</v>
      </c>
      <c r="AN3" t="s">
        <v>358</v>
      </c>
      <c r="AO3">
        <v>1</v>
      </c>
      <c r="AP3" t="s">
        <v>707</v>
      </c>
      <c r="AQ3">
        <v>0</v>
      </c>
      <c r="AS3">
        <v>51</v>
      </c>
      <c r="AT3">
        <v>43</v>
      </c>
      <c r="AU3">
        <v>23</v>
      </c>
      <c r="AV3">
        <v>1</v>
      </c>
      <c r="AW3" s="155">
        <v>45796</v>
      </c>
      <c r="AX3" s="155"/>
      <c r="AY3">
        <v>9004109100</v>
      </c>
      <c r="AZ3" t="s">
        <v>718</v>
      </c>
      <c r="BA3">
        <v>189</v>
      </c>
      <c r="BF3" t="s">
        <v>709</v>
      </c>
      <c r="BG3" t="s">
        <v>72</v>
      </c>
      <c r="BH3" t="s">
        <v>72</v>
      </c>
      <c r="BI3" t="s">
        <v>453</v>
      </c>
      <c r="BJ3" t="s">
        <v>72</v>
      </c>
      <c r="BS3" t="s">
        <v>719</v>
      </c>
      <c r="BU3" s="155">
        <v>45796</v>
      </c>
      <c r="BV3" s="155">
        <v>45796</v>
      </c>
    </row>
    <row r="4" spans="1:74" x14ac:dyDescent="0.25">
      <c r="A4" t="s">
        <v>280</v>
      </c>
      <c r="B4" t="s">
        <v>269</v>
      </c>
      <c r="C4" t="s">
        <v>59</v>
      </c>
      <c r="D4" t="s">
        <v>64</v>
      </c>
      <c r="E4" t="s">
        <v>720</v>
      </c>
      <c r="G4" s="154"/>
      <c r="H4" s="154"/>
      <c r="I4" s="154" t="s">
        <v>721</v>
      </c>
      <c r="J4" s="154" t="s">
        <v>722</v>
      </c>
      <c r="K4" s="154" t="s">
        <v>723</v>
      </c>
      <c r="L4" s="154" t="s">
        <v>722</v>
      </c>
      <c r="M4" s="154" t="s">
        <v>722</v>
      </c>
      <c r="N4" s="154" t="s">
        <v>707</v>
      </c>
      <c r="O4" s="154" t="s">
        <v>724</v>
      </c>
      <c r="P4" t="s">
        <v>453</v>
      </c>
      <c r="Q4" t="s">
        <v>72</v>
      </c>
      <c r="R4">
        <v>47</v>
      </c>
      <c r="S4">
        <v>26</v>
      </c>
      <c r="T4">
        <v>145</v>
      </c>
      <c r="U4" t="s">
        <v>709</v>
      </c>
      <c r="V4" s="154" t="s">
        <v>710</v>
      </c>
      <c r="W4" s="154" t="s">
        <v>711</v>
      </c>
      <c r="X4" t="s">
        <v>725</v>
      </c>
      <c r="Y4" t="s">
        <v>713</v>
      </c>
      <c r="Z4" t="s">
        <v>707</v>
      </c>
      <c r="AA4" t="s">
        <v>707</v>
      </c>
      <c r="AB4">
        <v>145</v>
      </c>
      <c r="AC4" t="s">
        <v>707</v>
      </c>
      <c r="AH4" t="s">
        <v>714</v>
      </c>
      <c r="AI4" t="s">
        <v>72</v>
      </c>
      <c r="AJ4" t="s">
        <v>716</v>
      </c>
      <c r="AK4" t="s">
        <v>726</v>
      </c>
      <c r="AL4">
        <v>3</v>
      </c>
      <c r="AM4">
        <v>1</v>
      </c>
      <c r="AN4" t="s">
        <v>358</v>
      </c>
      <c r="AO4">
        <v>1</v>
      </c>
      <c r="AP4" t="s">
        <v>707</v>
      </c>
      <c r="AQ4">
        <v>0</v>
      </c>
      <c r="AS4">
        <v>47</v>
      </c>
      <c r="AT4">
        <v>42</v>
      </c>
      <c r="AU4">
        <v>26</v>
      </c>
      <c r="AV4">
        <v>1</v>
      </c>
      <c r="AW4" s="155">
        <v>45796</v>
      </c>
      <c r="AX4" s="155"/>
      <c r="AY4">
        <v>9004109100</v>
      </c>
      <c r="AZ4" t="s">
        <v>727</v>
      </c>
      <c r="BA4">
        <v>185</v>
      </c>
      <c r="BF4" t="s">
        <v>709</v>
      </c>
      <c r="BG4" t="s">
        <v>72</v>
      </c>
      <c r="BH4" t="s">
        <v>72</v>
      </c>
      <c r="BI4" t="s">
        <v>453</v>
      </c>
      <c r="BJ4" t="s">
        <v>72</v>
      </c>
      <c r="BS4" t="s">
        <v>728</v>
      </c>
      <c r="BU4" s="155">
        <v>45796</v>
      </c>
      <c r="BV4" s="155">
        <v>45796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3087-57BB-4CCC-AA31-1EE55A4D6DA6}">
  <dimension ref="A1:BV4"/>
  <sheetViews>
    <sheetView workbookViewId="0"/>
  </sheetViews>
  <sheetFormatPr baseColWidth="10" defaultRowHeight="15" x14ac:dyDescent="0.25"/>
  <cols>
    <col min="1" max="1" width="8.85546875" bestFit="1" customWidth="1"/>
    <col min="2" max="2" width="16.42578125" bestFit="1" customWidth="1"/>
    <col min="3" max="3" width="10.85546875" bestFit="1" customWidth="1"/>
    <col min="4" max="4" width="23.28515625" bestFit="1" customWidth="1"/>
    <col min="5" max="5" width="15" bestFit="1" customWidth="1"/>
    <col min="6" max="6" width="8" bestFit="1" customWidth="1"/>
    <col min="7" max="7" width="9.140625" bestFit="1" customWidth="1"/>
    <col min="8" max="8" width="18.5703125" bestFit="1" customWidth="1"/>
    <col min="9" max="9" width="18.7109375" bestFit="1" customWidth="1"/>
    <col min="10" max="10" width="13.7109375" bestFit="1" customWidth="1"/>
    <col min="11" max="11" width="9.140625" bestFit="1" customWidth="1"/>
    <col min="12" max="13" width="13.7109375" bestFit="1" customWidth="1"/>
    <col min="14" max="14" width="4.5703125" bestFit="1" customWidth="1"/>
    <col min="15" max="15" width="4.7109375" bestFit="1" customWidth="1"/>
    <col min="17" max="17" width="9.85546875" bestFit="1" customWidth="1"/>
    <col min="18" max="18" width="8.5703125" bestFit="1" customWidth="1"/>
    <col min="19" max="19" width="10.140625" bestFit="1" customWidth="1"/>
    <col min="20" max="20" width="10.85546875" bestFit="1" customWidth="1"/>
    <col min="21" max="21" width="11" bestFit="1" customWidth="1"/>
    <col min="22" max="22" width="29.140625" bestFit="1" customWidth="1"/>
    <col min="23" max="23" width="10" bestFit="1" customWidth="1"/>
    <col min="24" max="24" width="10.28515625" bestFit="1" customWidth="1"/>
    <col min="25" max="25" width="10" bestFit="1" customWidth="1"/>
    <col min="26" max="26" width="10.28515625" bestFit="1" customWidth="1"/>
    <col min="28" max="28" width="10.85546875" bestFit="1" customWidth="1"/>
    <col min="29" max="30" width="10.7109375" bestFit="1" customWidth="1"/>
    <col min="31" max="31" width="10.85546875" bestFit="1" customWidth="1"/>
    <col min="32" max="32" width="9.85546875" bestFit="1" customWidth="1"/>
    <col min="33" max="33" width="10.5703125" bestFit="1" customWidth="1"/>
    <col min="34" max="34" width="11.28515625" bestFit="1" customWidth="1"/>
    <col min="35" max="35" width="10.42578125" bestFit="1" customWidth="1"/>
    <col min="36" max="36" width="9" bestFit="1" customWidth="1"/>
    <col min="37" max="37" width="20" bestFit="1" customWidth="1"/>
    <col min="38" max="38" width="9.5703125" bestFit="1" customWidth="1"/>
    <col min="39" max="39" width="10.5703125" bestFit="1" customWidth="1"/>
    <col min="40" max="40" width="8.85546875" bestFit="1" customWidth="1"/>
    <col min="41" max="41" width="9" bestFit="1" customWidth="1"/>
    <col min="42" max="42" width="9.7109375" bestFit="1" customWidth="1"/>
    <col min="43" max="43" width="10.5703125" bestFit="1" customWidth="1"/>
    <col min="45" max="45" width="10.28515625" bestFit="1" customWidth="1"/>
    <col min="46" max="46" width="10.85546875" bestFit="1" customWidth="1"/>
    <col min="47" max="47" width="8.85546875" bestFit="1" customWidth="1"/>
    <col min="48" max="48" width="11.5703125" bestFit="1" customWidth="1"/>
    <col min="49" max="50" width="10.7109375" bestFit="1" customWidth="1"/>
    <col min="51" max="51" width="11" bestFit="1" customWidth="1"/>
    <col min="52" max="53" width="5.85546875" bestFit="1" customWidth="1"/>
    <col min="54" max="57" width="29.7109375" bestFit="1" customWidth="1"/>
    <col min="58" max="58" width="10.28515625" bestFit="1" customWidth="1"/>
    <col min="61" max="61" width="11" bestFit="1" customWidth="1"/>
    <col min="62" max="62" width="10.42578125" bestFit="1" customWidth="1"/>
    <col min="63" max="64" width="11.28515625" bestFit="1" customWidth="1"/>
    <col min="65" max="65" width="6.42578125" bestFit="1" customWidth="1"/>
    <col min="66" max="66" width="9.140625" bestFit="1" customWidth="1"/>
    <col min="67" max="67" width="6.42578125" bestFit="1" customWidth="1"/>
    <col min="68" max="68" width="7.28515625" bestFit="1" customWidth="1"/>
    <col min="69" max="70" width="9.140625" bestFit="1" customWidth="1"/>
    <col min="71" max="71" width="11" bestFit="1" customWidth="1"/>
    <col min="72" max="72" width="8.28515625" bestFit="1" customWidth="1"/>
    <col min="73" max="73" width="15.5703125" bestFit="1" customWidth="1"/>
    <col min="74" max="74" width="19.7109375" bestFit="1" customWidth="1"/>
  </cols>
  <sheetData>
    <row r="1" spans="1:74" x14ac:dyDescent="0.25">
      <c r="A1" s="149" t="s">
        <v>327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50" t="s">
        <v>328</v>
      </c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1" t="s">
        <v>329</v>
      </c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51"/>
      <c r="BQ1" s="151"/>
      <c r="BR1" s="151"/>
      <c r="BS1" s="151"/>
      <c r="BT1" s="151"/>
      <c r="BU1" s="151"/>
      <c r="BV1" s="151"/>
    </row>
    <row r="2" spans="1:74" ht="240" x14ac:dyDescent="0.25">
      <c r="A2" s="159" t="s">
        <v>0</v>
      </c>
      <c r="B2" s="160" t="s">
        <v>58</v>
      </c>
      <c r="C2" s="159" t="s">
        <v>299</v>
      </c>
      <c r="D2" s="160" t="s">
        <v>300</v>
      </c>
      <c r="E2" s="159" t="s">
        <v>4</v>
      </c>
      <c r="F2" s="159" t="s">
        <v>282</v>
      </c>
      <c r="G2" s="159" t="s">
        <v>283</v>
      </c>
      <c r="H2" s="160" t="s">
        <v>284</v>
      </c>
      <c r="I2" s="159" t="s">
        <v>5</v>
      </c>
      <c r="J2" s="159" t="s">
        <v>6</v>
      </c>
      <c r="K2" s="159" t="s">
        <v>7</v>
      </c>
      <c r="L2" s="159" t="s">
        <v>8</v>
      </c>
      <c r="M2" s="159" t="s">
        <v>9</v>
      </c>
      <c r="N2" s="160" t="s">
        <v>285</v>
      </c>
      <c r="O2" s="160" t="s">
        <v>286</v>
      </c>
      <c r="P2" s="159" t="s">
        <v>301</v>
      </c>
      <c r="Q2" s="159" t="s">
        <v>302</v>
      </c>
      <c r="R2" s="159" t="s">
        <v>10</v>
      </c>
      <c r="S2" s="159" t="s">
        <v>11</v>
      </c>
      <c r="T2" s="159" t="s">
        <v>12</v>
      </c>
      <c r="U2" s="159" t="s">
        <v>303</v>
      </c>
      <c r="V2" s="159" t="s">
        <v>304</v>
      </c>
      <c r="W2" s="159" t="s">
        <v>305</v>
      </c>
      <c r="X2" s="159" t="s">
        <v>287</v>
      </c>
      <c r="Y2" s="159" t="s">
        <v>288</v>
      </c>
      <c r="Z2" s="159" t="s">
        <v>306</v>
      </c>
      <c r="AA2" s="159" t="s">
        <v>291</v>
      </c>
      <c r="AB2" s="159" t="s">
        <v>13</v>
      </c>
      <c r="AC2" s="159" t="s">
        <v>14</v>
      </c>
      <c r="AD2" s="159" t="s">
        <v>15</v>
      </c>
      <c r="AE2" s="159" t="s">
        <v>16</v>
      </c>
      <c r="AF2" s="159" t="s">
        <v>17</v>
      </c>
      <c r="AG2" s="159" t="s">
        <v>18</v>
      </c>
      <c r="AH2" s="159" t="s">
        <v>307</v>
      </c>
      <c r="AI2" s="159" t="s">
        <v>19</v>
      </c>
      <c r="AJ2" s="159" t="s">
        <v>20</v>
      </c>
      <c r="AK2" s="159" t="s">
        <v>308</v>
      </c>
      <c r="AL2" s="159" t="s">
        <v>309</v>
      </c>
      <c r="AM2" s="159" t="s">
        <v>310</v>
      </c>
      <c r="AN2" s="159" t="s">
        <v>311</v>
      </c>
      <c r="AO2" s="159" t="s">
        <v>312</v>
      </c>
      <c r="AP2" s="159" t="s">
        <v>25</v>
      </c>
      <c r="AQ2" s="159" t="s">
        <v>313</v>
      </c>
      <c r="AR2" s="159" t="s">
        <v>314</v>
      </c>
      <c r="AS2" s="159" t="s">
        <v>22</v>
      </c>
      <c r="AT2" s="159" t="s">
        <v>23</v>
      </c>
      <c r="AU2" s="159" t="s">
        <v>24</v>
      </c>
      <c r="AV2" s="159" t="s">
        <v>315</v>
      </c>
      <c r="AW2" s="159" t="s">
        <v>316</v>
      </c>
      <c r="AX2" s="159" t="s">
        <v>317</v>
      </c>
      <c r="AY2" s="159" t="s">
        <v>201</v>
      </c>
      <c r="AZ2" s="159" t="s">
        <v>318</v>
      </c>
      <c r="BA2" s="159" t="s">
        <v>319</v>
      </c>
      <c r="BB2" s="160" t="s">
        <v>296</v>
      </c>
      <c r="BC2" s="160" t="s">
        <v>296</v>
      </c>
      <c r="BD2" s="160" t="s">
        <v>296</v>
      </c>
      <c r="BE2" s="160" t="s">
        <v>296</v>
      </c>
      <c r="BF2" s="159" t="s">
        <v>320</v>
      </c>
      <c r="BG2" s="159" t="s">
        <v>321</v>
      </c>
      <c r="BH2" s="159" t="s">
        <v>322</v>
      </c>
      <c r="BI2" s="159" t="s">
        <v>323</v>
      </c>
      <c r="BJ2" s="159" t="s">
        <v>324</v>
      </c>
      <c r="BK2" s="159" t="s">
        <v>28</v>
      </c>
      <c r="BL2" s="159" t="s">
        <v>29</v>
      </c>
      <c r="BM2" s="159" t="s">
        <v>30</v>
      </c>
      <c r="BN2" s="159" t="s">
        <v>31</v>
      </c>
      <c r="BO2" s="159" t="s">
        <v>32</v>
      </c>
      <c r="BP2" s="159" t="s">
        <v>33</v>
      </c>
      <c r="BQ2" s="159" t="s">
        <v>34</v>
      </c>
      <c r="BR2" s="159" t="s">
        <v>35</v>
      </c>
      <c r="BS2" s="159" t="s">
        <v>297</v>
      </c>
      <c r="BT2" s="159" t="s">
        <v>298</v>
      </c>
      <c r="BU2" s="160" t="s">
        <v>36</v>
      </c>
      <c r="BV2" s="160" t="s">
        <v>37</v>
      </c>
    </row>
    <row r="3" spans="1:74" x14ac:dyDescent="0.25">
      <c r="A3" t="s">
        <v>729</v>
      </c>
      <c r="B3" t="s">
        <v>730</v>
      </c>
      <c r="C3" t="s">
        <v>59</v>
      </c>
      <c r="D3" t="s">
        <v>330</v>
      </c>
      <c r="E3" s="158" t="s">
        <v>731</v>
      </c>
      <c r="G3" s="154"/>
      <c r="H3" s="154"/>
      <c r="I3" s="154" t="s">
        <v>732</v>
      </c>
      <c r="J3" s="154" t="s">
        <v>733</v>
      </c>
      <c r="K3" s="154" t="s">
        <v>734</v>
      </c>
      <c r="L3" s="154" t="s">
        <v>733</v>
      </c>
      <c r="M3" s="154" t="s">
        <v>733</v>
      </c>
      <c r="N3" s="154"/>
      <c r="O3" s="154"/>
      <c r="P3" t="s">
        <v>72</v>
      </c>
      <c r="Q3" t="s">
        <v>72</v>
      </c>
      <c r="R3">
        <v>52</v>
      </c>
      <c r="S3">
        <v>17</v>
      </c>
      <c r="T3">
        <v>145</v>
      </c>
      <c r="U3" t="s">
        <v>709</v>
      </c>
      <c r="V3" s="154" t="s">
        <v>735</v>
      </c>
      <c r="W3" s="154"/>
      <c r="X3" t="s">
        <v>736</v>
      </c>
      <c r="Y3" t="s">
        <v>736</v>
      </c>
      <c r="Z3" t="s">
        <v>709</v>
      </c>
      <c r="AA3" t="s">
        <v>707</v>
      </c>
      <c r="AB3">
        <v>145</v>
      </c>
      <c r="AC3" t="s">
        <v>737</v>
      </c>
      <c r="AD3">
        <v>11</v>
      </c>
      <c r="AE3">
        <v>6</v>
      </c>
      <c r="AH3">
        <v>1</v>
      </c>
      <c r="AI3" t="s">
        <v>714</v>
      </c>
      <c r="AJ3" t="s">
        <v>707</v>
      </c>
      <c r="AP3" t="s">
        <v>707</v>
      </c>
      <c r="AQ3">
        <v>1</v>
      </c>
      <c r="AS3" t="s">
        <v>738</v>
      </c>
      <c r="AT3" t="s">
        <v>739</v>
      </c>
      <c r="AU3" t="s">
        <v>707</v>
      </c>
      <c r="AV3">
        <v>1</v>
      </c>
      <c r="AW3" s="155">
        <v>45792</v>
      </c>
      <c r="AX3" s="155"/>
      <c r="AY3" t="s">
        <v>740</v>
      </c>
      <c r="AZ3" t="s">
        <v>741</v>
      </c>
      <c r="BF3" t="s">
        <v>709</v>
      </c>
      <c r="BG3" t="s">
        <v>72</v>
      </c>
      <c r="BH3" t="s">
        <v>72</v>
      </c>
      <c r="BI3" t="s">
        <v>453</v>
      </c>
      <c r="BJ3" t="s">
        <v>72</v>
      </c>
      <c r="BT3" t="s">
        <v>707</v>
      </c>
      <c r="BU3" s="155">
        <v>45792</v>
      </c>
      <c r="BV3" s="155">
        <v>45792</v>
      </c>
    </row>
    <row r="4" spans="1:74" x14ac:dyDescent="0.25">
      <c r="A4" t="s">
        <v>729</v>
      </c>
      <c r="B4" t="s">
        <v>730</v>
      </c>
      <c r="C4" t="s">
        <v>59</v>
      </c>
      <c r="D4" t="s">
        <v>330</v>
      </c>
      <c r="E4" s="158" t="s">
        <v>742</v>
      </c>
      <c r="G4" s="154"/>
      <c r="H4" s="154"/>
      <c r="I4" s="154" t="s">
        <v>743</v>
      </c>
      <c r="J4" s="154" t="s">
        <v>744</v>
      </c>
      <c r="K4" s="154" t="s">
        <v>745</v>
      </c>
      <c r="L4" s="154" t="s">
        <v>744</v>
      </c>
      <c r="M4" s="154" t="s">
        <v>744</v>
      </c>
      <c r="N4" s="154"/>
      <c r="O4" s="154"/>
      <c r="P4" t="s">
        <v>453</v>
      </c>
      <c r="Q4" t="s">
        <v>72</v>
      </c>
      <c r="R4">
        <v>52</v>
      </c>
      <c r="S4">
        <v>17</v>
      </c>
      <c r="T4">
        <v>145</v>
      </c>
      <c r="U4" t="s">
        <v>709</v>
      </c>
      <c r="V4" s="154" t="s">
        <v>746</v>
      </c>
      <c r="W4" s="154"/>
      <c r="X4" t="s">
        <v>419</v>
      </c>
      <c r="Y4" t="s">
        <v>419</v>
      </c>
      <c r="Z4" t="s">
        <v>709</v>
      </c>
      <c r="AA4" t="s">
        <v>707</v>
      </c>
      <c r="AB4">
        <v>145</v>
      </c>
      <c r="AC4" t="s">
        <v>747</v>
      </c>
      <c r="AD4">
        <v>8</v>
      </c>
      <c r="AE4">
        <v>6</v>
      </c>
      <c r="AH4">
        <v>1</v>
      </c>
      <c r="AI4" t="s">
        <v>714</v>
      </c>
      <c r="AJ4" t="s">
        <v>707</v>
      </c>
      <c r="AK4" t="s">
        <v>748</v>
      </c>
      <c r="AL4">
        <v>3</v>
      </c>
      <c r="AM4">
        <v>1</v>
      </c>
      <c r="AN4" t="s">
        <v>338</v>
      </c>
      <c r="AO4">
        <v>1</v>
      </c>
      <c r="AP4" t="s">
        <v>707</v>
      </c>
      <c r="AQ4" t="s">
        <v>709</v>
      </c>
      <c r="AS4" t="s">
        <v>738</v>
      </c>
      <c r="AT4" t="s">
        <v>749</v>
      </c>
      <c r="AU4" t="s">
        <v>707</v>
      </c>
      <c r="AV4">
        <v>1</v>
      </c>
      <c r="AW4" s="155">
        <v>45792</v>
      </c>
      <c r="AX4" s="155"/>
      <c r="AY4" t="s">
        <v>750</v>
      </c>
      <c r="AZ4" t="s">
        <v>751</v>
      </c>
      <c r="BF4" t="s">
        <v>709</v>
      </c>
      <c r="BG4" t="s">
        <v>72</v>
      </c>
      <c r="BH4" t="s">
        <v>72</v>
      </c>
      <c r="BI4" t="s">
        <v>453</v>
      </c>
      <c r="BJ4" t="s">
        <v>72</v>
      </c>
      <c r="BT4" t="s">
        <v>707</v>
      </c>
      <c r="BU4" s="155">
        <v>45792</v>
      </c>
      <c r="BV4" s="155">
        <v>45792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Matrice_Excel_Monture_MDD</vt:lpstr>
      <vt:lpstr>Matrice_Excel_Mont.e-commerce</vt:lpstr>
      <vt:lpstr>SAP Créations (DREW S)</vt:lpstr>
      <vt:lpstr>BDD</vt:lpstr>
      <vt:lpstr>Exemples_MDD</vt:lpstr>
      <vt:lpstr>Exemples_e_commerce</vt:lpstr>
      <vt:lpstr>Exemples_distrib.sélective</vt:lpstr>
      <vt:lpstr>Matrice_Excel_Monture_MDD!Impression_des_titres</vt:lpstr>
    </vt:vector>
  </TitlesOfParts>
  <Company>Audioptic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Nancy, David</dc:creator>
  <cp:lastModifiedBy>Maslah, Alexis</cp:lastModifiedBy>
  <cp:lastPrinted>2022-11-30T10:28:37Z</cp:lastPrinted>
  <dcterms:created xsi:type="dcterms:W3CDTF">2022-09-16T13:36:04Z</dcterms:created>
  <dcterms:modified xsi:type="dcterms:W3CDTF">2026-08-05T13:11:10Z</dcterms:modified>
</cp:coreProperties>
</file>